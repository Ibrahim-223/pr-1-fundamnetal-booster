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bhrahim ansari\Desktop\Excel\"/>
    </mc:Choice>
  </mc:AlternateContent>
  <xr:revisionPtr revIDLastSave="0" documentId="13_ncr:1_{F902B057-C702-44B4-A0CF-11122501269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tudents" sheetId="1" r:id="rId1"/>
    <sheet name="Employees" sheetId="4" r:id="rId2"/>
    <sheet name="Products" sheetId="2" r:id="rId3"/>
    <sheet name="Sale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A17" i="2"/>
  <c r="A14" i="2"/>
  <c r="F6" i="3" a="1"/>
  <c r="F6" i="3" s="1"/>
  <c r="K4" i="1"/>
  <c r="A52" i="1" s="1" a="1"/>
  <c r="A52" i="1" s="1"/>
  <c r="M24" i="4"/>
  <c r="M25" i="4"/>
  <c r="M26" i="4"/>
  <c r="M23" i="4"/>
  <c r="L23" i="4" a="1"/>
  <c r="L23" i="4" s="1"/>
  <c r="A43" i="1"/>
  <c r="M17" i="4"/>
  <c r="M18" i="4"/>
  <c r="M19" i="4"/>
  <c r="M16" i="4"/>
  <c r="L16" i="4" a="1"/>
  <c r="L16" i="4" s="1"/>
  <c r="I21" i="4"/>
  <c r="J33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A46" i="1" a="1"/>
  <c r="A46" i="1" s="1"/>
  <c r="L7" i="4" a="1"/>
  <c r="L7" i="4" s="1"/>
  <c r="L4" i="4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4" i="1"/>
  <c r="A39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4" i="1"/>
  <c r="I33" i="4"/>
  <c r="I32" i="4"/>
  <c r="I31" i="4"/>
  <c r="I30" i="4"/>
  <c r="I29" i="4"/>
  <c r="I28" i="4"/>
  <c r="I27" i="4"/>
  <c r="I26" i="4"/>
  <c r="I25" i="4"/>
  <c r="I24" i="4"/>
  <c r="I23" i="4"/>
  <c r="I22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H33" i="4"/>
  <c r="G33" i="4"/>
  <c r="H32" i="4"/>
  <c r="G32" i="4"/>
  <c r="H31" i="4"/>
  <c r="G31" i="4"/>
  <c r="H30" i="4"/>
  <c r="G30" i="4"/>
  <c r="H29" i="4"/>
  <c r="G29" i="4"/>
  <c r="H28" i="4"/>
  <c r="G28" i="4"/>
  <c r="H27" i="4"/>
  <c r="G27" i="4"/>
  <c r="H26" i="4"/>
  <c r="G26" i="4"/>
  <c r="H25" i="4"/>
  <c r="G25" i="4"/>
  <c r="H24" i="4"/>
  <c r="G24" i="4"/>
  <c r="H23" i="4"/>
  <c r="G23" i="4"/>
  <c r="H22" i="4"/>
  <c r="G22" i="4"/>
  <c r="H21" i="4"/>
  <c r="G21" i="4"/>
  <c r="H20" i="4"/>
  <c r="G20" i="4"/>
  <c r="H19" i="4"/>
  <c r="G19" i="4"/>
  <c r="H18" i="4"/>
  <c r="G18" i="4"/>
  <c r="H17" i="4"/>
  <c r="G17" i="4"/>
  <c r="H16" i="4"/>
  <c r="G16" i="4"/>
  <c r="H15" i="4"/>
  <c r="G15" i="4"/>
  <c r="H14" i="4"/>
  <c r="G14" i="4"/>
  <c r="H13" i="4"/>
  <c r="G13" i="4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H5" i="4"/>
  <c r="G5" i="4"/>
  <c r="H4" i="4"/>
  <c r="G4" i="4"/>
  <c r="D4" i="3"/>
  <c r="G6" i="3" s="1"/>
  <c r="D5" i="3"/>
  <c r="G7" i="3" s="1"/>
  <c r="D6" i="3"/>
  <c r="G8" i="3" s="1"/>
  <c r="D7" i="3"/>
  <c r="G9" i="3" s="1"/>
  <c r="D8" i="3"/>
  <c r="G10" i="3" s="1"/>
  <c r="D9" i="3"/>
  <c r="G11" i="3" s="1"/>
  <c r="D10" i="3"/>
  <c r="G12" i="3" s="1"/>
  <c r="D11" i="3"/>
  <c r="G13" i="3" s="1"/>
  <c r="D12" i="3"/>
  <c r="G14" i="3" s="1"/>
  <c r="D13" i="3"/>
  <c r="G15" i="3" s="1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A3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<sst xmlns="http://schemas.openxmlformats.org/spreadsheetml/2006/main" count="180" uniqueCount="122">
  <si>
    <t>StudentID</t>
  </si>
  <si>
    <t>Name</t>
  </si>
  <si>
    <t>Grade</t>
  </si>
  <si>
    <t>Amit</t>
  </si>
  <si>
    <t>Riya</t>
  </si>
  <si>
    <t>Sohan</t>
  </si>
  <si>
    <t>Neha</t>
  </si>
  <si>
    <t>Rahul</t>
  </si>
  <si>
    <t>Pooja</t>
  </si>
  <si>
    <t>Karan</t>
  </si>
  <si>
    <t>Sneha</t>
  </si>
  <si>
    <t>Vikas</t>
  </si>
  <si>
    <t>Anjali</t>
  </si>
  <si>
    <t>Rohit</t>
  </si>
  <si>
    <t>Priya</t>
  </si>
  <si>
    <t>Arjun</t>
  </si>
  <si>
    <t>Kavita</t>
  </si>
  <si>
    <t>Manish</t>
  </si>
  <si>
    <t>Simran</t>
  </si>
  <si>
    <t>Deepak</t>
  </si>
  <si>
    <t>Nisha</t>
  </si>
  <si>
    <t>Alok</t>
  </si>
  <si>
    <t>Meena</t>
  </si>
  <si>
    <t>Suresh</t>
  </si>
  <si>
    <t>Payal</t>
  </si>
  <si>
    <t>Mohit</t>
  </si>
  <si>
    <t>Isha</t>
  </si>
  <si>
    <t>Nitin</t>
  </si>
  <si>
    <t>Rekha</t>
  </si>
  <si>
    <t>Abhishek</t>
  </si>
  <si>
    <t>Komal</t>
  </si>
  <si>
    <t>Sunil</t>
  </si>
  <si>
    <t>Preeti</t>
  </si>
  <si>
    <t>ProductID</t>
  </si>
  <si>
    <t>ProductName</t>
  </si>
  <si>
    <t>Price</t>
  </si>
  <si>
    <t>P101</t>
  </si>
  <si>
    <t>Laptop</t>
  </si>
  <si>
    <t>P102</t>
  </si>
  <si>
    <t>Mouse</t>
  </si>
  <si>
    <t>P103</t>
  </si>
  <si>
    <t>Keyboard</t>
  </si>
  <si>
    <t>P104</t>
  </si>
  <si>
    <t>Monitor</t>
  </si>
  <si>
    <t>P105</t>
  </si>
  <si>
    <t>Printer</t>
  </si>
  <si>
    <t>P106</t>
  </si>
  <si>
    <t>Tablet</t>
  </si>
  <si>
    <t>P107</t>
  </si>
  <si>
    <t>Phone</t>
  </si>
  <si>
    <t>P108</t>
  </si>
  <si>
    <t>Speaker</t>
  </si>
  <si>
    <t>P109</t>
  </si>
  <si>
    <t>Router</t>
  </si>
  <si>
    <t>P110</t>
  </si>
  <si>
    <t>Headset</t>
  </si>
  <si>
    <t>SaleID</t>
  </si>
  <si>
    <t>Quantity</t>
  </si>
  <si>
    <t>ProductPrice</t>
  </si>
  <si>
    <t>EmpID</t>
  </si>
  <si>
    <t>Department</t>
  </si>
  <si>
    <t>Salary</t>
  </si>
  <si>
    <t>DateOfJoining</t>
  </si>
  <si>
    <t>Emp1</t>
  </si>
  <si>
    <t>IT</t>
  </si>
  <si>
    <t>Emp2</t>
  </si>
  <si>
    <t>Finance</t>
  </si>
  <si>
    <t>Emp3</t>
  </si>
  <si>
    <t>Sales</t>
  </si>
  <si>
    <t>Emp4</t>
  </si>
  <si>
    <t>Emp5</t>
  </si>
  <si>
    <t>Emp6</t>
  </si>
  <si>
    <t>Emp7</t>
  </si>
  <si>
    <t>Emp8</t>
  </si>
  <si>
    <t>Emp9</t>
  </si>
  <si>
    <t>Emp10</t>
  </si>
  <si>
    <t>Emp11</t>
  </si>
  <si>
    <t>HR</t>
  </si>
  <si>
    <t>Emp12</t>
  </si>
  <si>
    <t>Emp13</t>
  </si>
  <si>
    <t>Emp14</t>
  </si>
  <si>
    <t>Emp15</t>
  </si>
  <si>
    <t>Emp16</t>
  </si>
  <si>
    <t>Emp17</t>
  </si>
  <si>
    <t>Emp18</t>
  </si>
  <si>
    <t>Emp19</t>
  </si>
  <si>
    <t>Emp20</t>
  </si>
  <si>
    <t>Emp21</t>
  </si>
  <si>
    <t>Emp22</t>
  </si>
  <si>
    <t>Emp23</t>
  </si>
  <si>
    <t>Emp24</t>
  </si>
  <si>
    <t>Emp25</t>
  </si>
  <si>
    <t>Emp26</t>
  </si>
  <si>
    <t>Emp27</t>
  </si>
  <si>
    <t>Emp28</t>
  </si>
  <si>
    <t>Emp29</t>
  </si>
  <si>
    <t>Emp30</t>
  </si>
  <si>
    <t>use COUNTIFS to count student scoring above 60</t>
  </si>
  <si>
    <t>use vlookup to find a product price from sales data</t>
  </si>
  <si>
    <t>Day</t>
  </si>
  <si>
    <t>Month</t>
  </si>
  <si>
    <t>Year</t>
  </si>
  <si>
    <t xml:space="preserve">Analyze date of joining </t>
  </si>
  <si>
    <t>Max</t>
  </si>
  <si>
    <t>Min</t>
  </si>
  <si>
    <t>Maths</t>
  </si>
  <si>
    <t>Science</t>
  </si>
  <si>
    <t>English</t>
  </si>
  <si>
    <t>Total</t>
  </si>
  <si>
    <t xml:space="preserve">Student scoring </t>
  </si>
  <si>
    <t>scoring more then 50 in maths</t>
  </si>
  <si>
    <t>How many students are fail</t>
  </si>
  <si>
    <t>student got morethen 50 in maths and 70 in science</t>
  </si>
  <si>
    <t>Percentage</t>
  </si>
  <si>
    <t>salray &gt;50000</t>
  </si>
  <si>
    <t>filter Department=IT and Salary &gt; 45000</t>
  </si>
  <si>
    <t>fail student details</t>
  </si>
  <si>
    <t>Pass/Fail</t>
  </si>
  <si>
    <t>Highest salary departmnet wise</t>
  </si>
  <si>
    <t>Total salary Departmnet wise</t>
  </si>
  <si>
    <t>productId 103(Find a product name)</t>
  </si>
  <si>
    <t>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</si>
</sst>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3" tint="0.59999389629810485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16"/>
      <color theme="3" tint="-0.499984740745262"/>
      <name val="Calibri"/>
      <family val="2"/>
      <scheme val="minor"/>
    </font>
    <font>
      <b/>
      <sz val="18"/>
      <color theme="3" tint="-0.499984740745262"/>
      <name val="Calibri"/>
      <family val="2"/>
      <scheme val="minor"/>
    </font>
    <font>
      <b/>
      <sz val="20"/>
      <color theme="3" tint="-0.499984740745262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4"/>
      <color theme="3" tint="0.59999389629810485"/>
      <name val="Calibri"/>
      <family val="2"/>
      <scheme val="minor"/>
    </font>
    <font>
      <sz val="18"/>
      <color theme="3" tint="0.59999389629810485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6"/>
      <color theme="3" tint="0.59999389629810485"/>
      <name val="Calibri"/>
      <family val="2"/>
      <scheme val="minor"/>
    </font>
    <font>
      <b/>
      <sz val="11"/>
      <color theme="3" tint="0.59999389629810485"/>
      <name val="Calibri"/>
      <family val="2"/>
      <scheme val="minor"/>
    </font>
    <font>
      <sz val="12"/>
      <color theme="3" tint="0.59999389629810485"/>
      <name val="Calibri"/>
      <family val="2"/>
      <scheme val="minor"/>
    </font>
    <font>
      <sz val="14"/>
      <color theme="3" tint="0.5999938962981048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2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11" fillId="2" borderId="0" xfId="0" applyFont="1" applyFill="1"/>
    <xf numFmtId="0" fontId="8" fillId="2" borderId="0" xfId="0" applyFont="1" applyFill="1"/>
    <xf numFmtId="0" fontId="12" fillId="4" borderId="0" xfId="0" applyFont="1" applyFill="1"/>
    <xf numFmtId="0" fontId="6" fillId="4" borderId="0" xfId="0" applyFont="1" applyFill="1"/>
    <xf numFmtId="0" fontId="14" fillId="4" borderId="0" xfId="0" applyFont="1" applyFill="1"/>
    <xf numFmtId="0" fontId="15" fillId="3" borderId="0" xfId="0" applyFont="1" applyFill="1"/>
    <xf numFmtId="0" fontId="16" fillId="3" borderId="0" xfId="0" applyFont="1" applyFill="1"/>
    <xf numFmtId="0" fontId="6" fillId="3" borderId="0" xfId="0" applyFont="1" applyFill="1"/>
    <xf numFmtId="0" fontId="13" fillId="3" borderId="0" xfId="0" applyFont="1" applyFill="1"/>
    <xf numFmtId="0" fontId="0" fillId="0" borderId="1" xfId="0" applyBorder="1"/>
    <xf numFmtId="0" fontId="4" fillId="0" borderId="0" xfId="0" applyFont="1"/>
    <xf numFmtId="0" fontId="0" fillId="0" borderId="2" xfId="0" applyBorder="1" applyAlignment="1">
      <alignment vertical="center"/>
    </xf>
    <xf numFmtId="0" fontId="18" fillId="6" borderId="0" xfId="0" applyFont="1" applyFill="1"/>
    <xf numFmtId="0" fontId="19" fillId="6" borderId="0" xfId="0" applyFont="1" applyFill="1"/>
    <xf numFmtId="0" fontId="7" fillId="3" borderId="0" xfId="0" applyFont="1" applyFill="1"/>
    <xf numFmtId="0" fontId="0" fillId="6" borderId="0" xfId="0" applyFill="1"/>
    <xf numFmtId="0" fontId="20" fillId="6" borderId="0" xfId="0" applyFont="1" applyFill="1"/>
    <xf numFmtId="0" fontId="0" fillId="0" borderId="0" xfId="0" applyAlignment="1">
      <alignment wrapText="1"/>
    </xf>
    <xf numFmtId="0" fontId="3" fillId="6" borderId="0" xfId="0" applyFont="1" applyFill="1"/>
    <xf numFmtId="0" fontId="8" fillId="5" borderId="1" xfId="0" applyFont="1" applyFill="1" applyBorder="1"/>
    <xf numFmtId="0" fontId="17" fillId="6" borderId="1" xfId="0" applyFont="1" applyFill="1" applyBorder="1"/>
    <xf numFmtId="0" fontId="17" fillId="6" borderId="1" xfId="0" applyFont="1" applyFill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/>
    <xf numFmtId="2" fontId="7" fillId="0" borderId="1" xfId="1" applyNumberFormat="1" applyFont="1" applyBorder="1"/>
    <xf numFmtId="0" fontId="7" fillId="0" borderId="1" xfId="0" applyFont="1" applyBorder="1" applyAlignment="1">
      <alignment horizontal="center" vertical="top" wrapText="1"/>
    </xf>
    <xf numFmtId="0" fontId="4" fillId="0" borderId="1" xfId="0" applyFont="1" applyBorder="1"/>
    <xf numFmtId="0" fontId="5" fillId="0" borderId="0" xfId="0" applyFont="1"/>
    <xf numFmtId="0" fontId="21" fillId="6" borderId="0" xfId="0" applyFont="1" applyFill="1"/>
    <xf numFmtId="0" fontId="21" fillId="6" borderId="1" xfId="0" applyFont="1" applyFill="1" applyBorder="1"/>
    <xf numFmtId="0" fontId="0" fillId="6" borderId="1" xfId="0" applyFill="1" applyBorder="1"/>
    <xf numFmtId="0" fontId="22" fillId="6" borderId="1" xfId="0" applyFont="1" applyFill="1" applyBorder="1"/>
    <xf numFmtId="0" fontId="19" fillId="6" borderId="1" xfId="0" applyFont="1" applyFill="1" applyBorder="1"/>
    <xf numFmtId="0" fontId="23" fillId="6" borderId="0" xfId="0" applyFont="1" applyFill="1"/>
    <xf numFmtId="0" fontId="8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64"/>
  <sheetViews>
    <sheetView topLeftCell="A31" zoomScale="74" workbookViewId="0">
      <selection activeCell="O17" sqref="O17"/>
    </sheetView>
  </sheetViews>
  <sheetFormatPr defaultRowHeight="14.4" x14ac:dyDescent="0.3"/>
  <cols>
    <col min="1" max="1" width="15.5546875" customWidth="1"/>
    <col min="2" max="5" width="13.6640625" customWidth="1"/>
    <col min="6" max="8" width="11.5546875" customWidth="1"/>
    <col min="9" max="9" width="13.33203125" bestFit="1" customWidth="1"/>
    <col min="11" max="11" width="10.6640625" bestFit="1" customWidth="1"/>
  </cols>
  <sheetData>
    <row r="2" spans="1:17" ht="25.8" x14ac:dyDescent="0.5">
      <c r="J2" s="14"/>
      <c r="K2" s="15"/>
      <c r="L2" s="15"/>
      <c r="M2" s="15"/>
      <c r="N2" s="15"/>
      <c r="O2" s="15"/>
      <c r="P2" s="15"/>
      <c r="Q2" s="15"/>
    </row>
    <row r="3" spans="1:17" ht="27" customHeight="1" x14ac:dyDescent="0.4">
      <c r="A3" s="28" t="s">
        <v>0</v>
      </c>
      <c r="B3" s="28" t="s">
        <v>1</v>
      </c>
      <c r="C3" s="28" t="s">
        <v>105</v>
      </c>
      <c r="D3" s="28" t="s">
        <v>106</v>
      </c>
      <c r="E3" s="28" t="s">
        <v>107</v>
      </c>
      <c r="F3" s="29" t="s">
        <v>108</v>
      </c>
      <c r="G3" s="29" t="s">
        <v>103</v>
      </c>
      <c r="H3" s="29" t="s">
        <v>104</v>
      </c>
      <c r="I3" s="29" t="s">
        <v>113</v>
      </c>
      <c r="J3" s="30" t="s">
        <v>2</v>
      </c>
      <c r="K3" s="29" t="s">
        <v>117</v>
      </c>
      <c r="L3" s="24"/>
    </row>
    <row r="4" spans="1:17" ht="23.4" x14ac:dyDescent="0.45">
      <c r="A4" s="31">
        <v>1</v>
      </c>
      <c r="B4" s="31" t="s">
        <v>3</v>
      </c>
      <c r="C4" s="31">
        <v>98</v>
      </c>
      <c r="D4" s="31">
        <v>47</v>
      </c>
      <c r="E4" s="31">
        <v>76</v>
      </c>
      <c r="F4" s="32">
        <f>SUM(C4:E4)</f>
        <v>221</v>
      </c>
      <c r="G4" s="32">
        <f>MAX(C4:E4)</f>
        <v>98</v>
      </c>
      <c r="H4" s="32">
        <f>MIN(C4:E4)</f>
        <v>47</v>
      </c>
      <c r="I4" s="33">
        <f>SUM(F4/300)*100</f>
        <v>73.666666666666671</v>
      </c>
      <c r="J4" s="34" t="str">
        <f>IF(I4&gt;70,"A",IF(I4&gt;60,"B",IF(I4&gt;50,"C",IF(I4&gt;40,"D","F"))))</f>
        <v>A</v>
      </c>
      <c r="K4" s="35" t="str">
        <f>IF(I4&gt;34, "Pass", "Fail")</f>
        <v>Pass</v>
      </c>
    </row>
    <row r="5" spans="1:17" ht="23.4" x14ac:dyDescent="0.45">
      <c r="A5" s="31">
        <v>2</v>
      </c>
      <c r="B5" s="31" t="s">
        <v>4</v>
      </c>
      <c r="C5" s="31">
        <v>76</v>
      </c>
      <c r="D5" s="31">
        <v>46</v>
      </c>
      <c r="E5" s="31">
        <v>54</v>
      </c>
      <c r="F5" s="32">
        <f t="shared" ref="F5:F33" si="0">SUM(C5:E5)</f>
        <v>176</v>
      </c>
      <c r="G5" s="32">
        <f t="shared" ref="G5:G33" si="1">MAX(C5:E5)</f>
        <v>76</v>
      </c>
      <c r="H5" s="32">
        <f t="shared" ref="H5:H33" si="2">MIN(C5:E5)</f>
        <v>46</v>
      </c>
      <c r="I5" s="33">
        <f t="shared" ref="I5:I33" si="3">SUM(F5/300)*100</f>
        <v>58.666666666666664</v>
      </c>
      <c r="J5" s="34" t="str">
        <f t="shared" ref="J5:J32" si="4">IF(I5&gt;70,"A",IF(I5&gt;60,"B",IF(I5&gt;50,"C",IF(I5&gt;40,"D","F"))))</f>
        <v>C</v>
      </c>
      <c r="K5" s="35" t="str">
        <f t="shared" ref="K5:K33" si="5">IF(I5&gt;34, "Pass", "Fail")</f>
        <v>Pass</v>
      </c>
    </row>
    <row r="6" spans="1:17" ht="24" thickBot="1" x14ac:dyDescent="0.5">
      <c r="A6" s="31">
        <v>3</v>
      </c>
      <c r="B6" s="31" t="s">
        <v>5</v>
      </c>
      <c r="C6" s="31">
        <v>55</v>
      </c>
      <c r="D6" s="31">
        <v>25</v>
      </c>
      <c r="E6" s="31">
        <v>88</v>
      </c>
      <c r="F6" s="32">
        <f t="shared" si="0"/>
        <v>168</v>
      </c>
      <c r="G6" s="32">
        <f t="shared" si="1"/>
        <v>88</v>
      </c>
      <c r="H6" s="32">
        <f t="shared" si="2"/>
        <v>25</v>
      </c>
      <c r="I6" s="33">
        <f t="shared" si="3"/>
        <v>56.000000000000007</v>
      </c>
      <c r="J6" s="34" t="str">
        <f t="shared" si="4"/>
        <v>C</v>
      </c>
      <c r="K6" s="35" t="str">
        <f t="shared" si="5"/>
        <v>Pass</v>
      </c>
      <c r="L6" s="20"/>
    </row>
    <row r="7" spans="1:17" ht="24" thickTop="1" x14ac:dyDescent="0.45">
      <c r="A7" s="31">
        <v>4</v>
      </c>
      <c r="B7" s="31" t="s">
        <v>6</v>
      </c>
      <c r="C7" s="31">
        <v>89</v>
      </c>
      <c r="D7" s="31">
        <v>63</v>
      </c>
      <c r="E7" s="31">
        <v>16</v>
      </c>
      <c r="F7" s="32">
        <f t="shared" si="0"/>
        <v>168</v>
      </c>
      <c r="G7" s="32">
        <f t="shared" si="1"/>
        <v>89</v>
      </c>
      <c r="H7" s="32">
        <f t="shared" si="2"/>
        <v>16</v>
      </c>
      <c r="I7" s="33">
        <f t="shared" si="3"/>
        <v>56.000000000000007</v>
      </c>
      <c r="J7" s="34" t="str">
        <f t="shared" si="4"/>
        <v>C</v>
      </c>
      <c r="K7" s="35" t="str">
        <f t="shared" si="5"/>
        <v>Pass</v>
      </c>
    </row>
    <row r="8" spans="1:17" ht="23.4" x14ac:dyDescent="0.45">
      <c r="A8" s="31">
        <v>5</v>
      </c>
      <c r="B8" s="31" t="s">
        <v>7</v>
      </c>
      <c r="C8" s="31">
        <v>96</v>
      </c>
      <c r="D8" s="31">
        <v>95</v>
      </c>
      <c r="E8" s="31">
        <v>86</v>
      </c>
      <c r="F8" s="32">
        <f t="shared" si="0"/>
        <v>277</v>
      </c>
      <c r="G8" s="32">
        <f t="shared" si="1"/>
        <v>96</v>
      </c>
      <c r="H8" s="32">
        <f t="shared" si="2"/>
        <v>86</v>
      </c>
      <c r="I8" s="33">
        <f t="shared" si="3"/>
        <v>92.333333333333329</v>
      </c>
      <c r="J8" s="34" t="str">
        <f t="shared" si="4"/>
        <v>A</v>
      </c>
      <c r="K8" s="35" t="str">
        <f t="shared" si="5"/>
        <v>Pass</v>
      </c>
    </row>
    <row r="9" spans="1:17" ht="23.4" x14ac:dyDescent="0.45">
      <c r="A9" s="31">
        <v>6</v>
      </c>
      <c r="B9" s="31" t="s">
        <v>8</v>
      </c>
      <c r="C9" s="31">
        <v>47</v>
      </c>
      <c r="D9" s="31">
        <v>64</v>
      </c>
      <c r="E9" s="31">
        <v>33</v>
      </c>
      <c r="F9" s="32">
        <f t="shared" si="0"/>
        <v>144</v>
      </c>
      <c r="G9" s="32">
        <f t="shared" si="1"/>
        <v>64</v>
      </c>
      <c r="H9" s="32">
        <f t="shared" si="2"/>
        <v>33</v>
      </c>
      <c r="I9" s="33">
        <f t="shared" si="3"/>
        <v>48</v>
      </c>
      <c r="J9" s="34" t="str">
        <f t="shared" si="4"/>
        <v>D</v>
      </c>
      <c r="K9" s="35" t="str">
        <f t="shared" si="5"/>
        <v>Pass</v>
      </c>
    </row>
    <row r="10" spans="1:17" ht="23.4" x14ac:dyDescent="0.45">
      <c r="A10" s="31">
        <v>7</v>
      </c>
      <c r="B10" s="31" t="s">
        <v>9</v>
      </c>
      <c r="C10" s="31">
        <v>46</v>
      </c>
      <c r="D10" s="31">
        <v>26</v>
      </c>
      <c r="E10" s="31">
        <v>45</v>
      </c>
      <c r="F10" s="32">
        <f t="shared" si="0"/>
        <v>117</v>
      </c>
      <c r="G10" s="32">
        <f t="shared" si="1"/>
        <v>46</v>
      </c>
      <c r="H10" s="32">
        <f t="shared" si="2"/>
        <v>26</v>
      </c>
      <c r="I10" s="33">
        <f t="shared" si="3"/>
        <v>39</v>
      </c>
      <c r="J10" s="34" t="str">
        <f t="shared" si="4"/>
        <v>F</v>
      </c>
      <c r="K10" s="35" t="str">
        <f t="shared" si="5"/>
        <v>Pass</v>
      </c>
    </row>
    <row r="11" spans="1:17" ht="23.4" x14ac:dyDescent="0.45">
      <c r="A11" s="31">
        <v>8</v>
      </c>
      <c r="B11" s="31" t="s">
        <v>10</v>
      </c>
      <c r="C11" s="31">
        <v>25</v>
      </c>
      <c r="D11" s="31">
        <v>40</v>
      </c>
      <c r="E11" s="31">
        <v>87</v>
      </c>
      <c r="F11" s="32">
        <f t="shared" si="0"/>
        <v>152</v>
      </c>
      <c r="G11" s="32">
        <f t="shared" si="1"/>
        <v>87</v>
      </c>
      <c r="H11" s="32">
        <f t="shared" si="2"/>
        <v>25</v>
      </c>
      <c r="I11" s="33">
        <f t="shared" si="3"/>
        <v>50.666666666666671</v>
      </c>
      <c r="J11" s="34" t="str">
        <f t="shared" si="4"/>
        <v>C</v>
      </c>
      <c r="K11" s="35" t="str">
        <f t="shared" si="5"/>
        <v>Pass</v>
      </c>
    </row>
    <row r="12" spans="1:17" ht="23.4" x14ac:dyDescent="0.45">
      <c r="A12" s="31">
        <v>9</v>
      </c>
      <c r="B12" s="31" t="s">
        <v>11</v>
      </c>
      <c r="C12" s="31">
        <v>63</v>
      </c>
      <c r="D12" s="31">
        <v>65</v>
      </c>
      <c r="E12" s="31">
        <v>25</v>
      </c>
      <c r="F12" s="32">
        <f t="shared" si="0"/>
        <v>153</v>
      </c>
      <c r="G12" s="32">
        <f t="shared" si="1"/>
        <v>65</v>
      </c>
      <c r="H12" s="32">
        <f t="shared" si="2"/>
        <v>25</v>
      </c>
      <c r="I12" s="33">
        <f t="shared" si="3"/>
        <v>51</v>
      </c>
      <c r="J12" s="34" t="str">
        <f t="shared" si="4"/>
        <v>C</v>
      </c>
      <c r="K12" s="35" t="str">
        <f t="shared" si="5"/>
        <v>Pass</v>
      </c>
    </row>
    <row r="13" spans="1:17" ht="23.4" x14ac:dyDescent="0.45">
      <c r="A13" s="31">
        <v>10</v>
      </c>
      <c r="B13" s="31" t="s">
        <v>12</v>
      </c>
      <c r="C13" s="31">
        <v>95</v>
      </c>
      <c r="D13" s="31">
        <v>23</v>
      </c>
      <c r="E13" s="31">
        <v>63</v>
      </c>
      <c r="F13" s="32">
        <f t="shared" si="0"/>
        <v>181</v>
      </c>
      <c r="G13" s="32">
        <f t="shared" si="1"/>
        <v>95</v>
      </c>
      <c r="H13" s="32">
        <f t="shared" si="2"/>
        <v>23</v>
      </c>
      <c r="I13" s="33">
        <f t="shared" si="3"/>
        <v>60.333333333333336</v>
      </c>
      <c r="J13" s="34" t="str">
        <f t="shared" si="4"/>
        <v>B</v>
      </c>
      <c r="K13" s="35" t="str">
        <f t="shared" si="5"/>
        <v>Pass</v>
      </c>
    </row>
    <row r="14" spans="1:17" ht="23.4" x14ac:dyDescent="0.45">
      <c r="A14" s="31">
        <v>11</v>
      </c>
      <c r="B14" s="31" t="s">
        <v>13</v>
      </c>
      <c r="C14" s="31">
        <v>64</v>
      </c>
      <c r="D14" s="31">
        <v>76</v>
      </c>
      <c r="E14" s="31">
        <v>95</v>
      </c>
      <c r="F14" s="32">
        <f t="shared" si="0"/>
        <v>235</v>
      </c>
      <c r="G14" s="32">
        <f t="shared" si="1"/>
        <v>95</v>
      </c>
      <c r="H14" s="32">
        <f t="shared" si="2"/>
        <v>64</v>
      </c>
      <c r="I14" s="33">
        <f t="shared" si="3"/>
        <v>78.333333333333329</v>
      </c>
      <c r="J14" s="34" t="str">
        <f t="shared" si="4"/>
        <v>A</v>
      </c>
      <c r="K14" s="35" t="str">
        <f t="shared" si="5"/>
        <v>Pass</v>
      </c>
    </row>
    <row r="15" spans="1:17" ht="23.4" x14ac:dyDescent="0.45">
      <c r="A15" s="31">
        <v>12</v>
      </c>
      <c r="B15" s="31" t="s">
        <v>14</v>
      </c>
      <c r="C15" s="31">
        <v>26</v>
      </c>
      <c r="D15" s="31">
        <v>54</v>
      </c>
      <c r="E15" s="31">
        <v>64</v>
      </c>
      <c r="F15" s="32">
        <f t="shared" si="0"/>
        <v>144</v>
      </c>
      <c r="G15" s="32">
        <f t="shared" si="1"/>
        <v>64</v>
      </c>
      <c r="H15" s="32">
        <f t="shared" si="2"/>
        <v>26</v>
      </c>
      <c r="I15" s="33">
        <f t="shared" si="3"/>
        <v>48</v>
      </c>
      <c r="J15" s="34" t="str">
        <f t="shared" si="4"/>
        <v>D</v>
      </c>
      <c r="K15" s="35" t="str">
        <f t="shared" si="5"/>
        <v>Pass</v>
      </c>
    </row>
    <row r="16" spans="1:17" ht="23.4" x14ac:dyDescent="0.45">
      <c r="A16" s="31">
        <v>13</v>
      </c>
      <c r="B16" s="31" t="s">
        <v>15</v>
      </c>
      <c r="C16" s="31">
        <v>40</v>
      </c>
      <c r="D16" s="31">
        <v>88</v>
      </c>
      <c r="E16" s="31">
        <v>26</v>
      </c>
      <c r="F16" s="32">
        <f t="shared" si="0"/>
        <v>154</v>
      </c>
      <c r="G16" s="32">
        <f t="shared" si="1"/>
        <v>88</v>
      </c>
      <c r="H16" s="32">
        <f t="shared" si="2"/>
        <v>26</v>
      </c>
      <c r="I16" s="33">
        <f t="shared" si="3"/>
        <v>51.333333333333329</v>
      </c>
      <c r="J16" s="34" t="str">
        <f t="shared" si="4"/>
        <v>C</v>
      </c>
      <c r="K16" s="35" t="str">
        <f t="shared" si="5"/>
        <v>Pass</v>
      </c>
    </row>
    <row r="17" spans="1:11" ht="23.4" x14ac:dyDescent="0.45">
      <c r="A17" s="31">
        <v>14</v>
      </c>
      <c r="B17" s="31" t="s">
        <v>16</v>
      </c>
      <c r="C17" s="31">
        <v>65</v>
      </c>
      <c r="D17" s="31">
        <v>16</v>
      </c>
      <c r="E17" s="31">
        <v>9</v>
      </c>
      <c r="F17" s="32">
        <f t="shared" si="0"/>
        <v>90</v>
      </c>
      <c r="G17" s="32">
        <f t="shared" si="1"/>
        <v>65</v>
      </c>
      <c r="H17" s="32">
        <f t="shared" si="2"/>
        <v>9</v>
      </c>
      <c r="I17" s="33">
        <f t="shared" si="3"/>
        <v>30</v>
      </c>
      <c r="J17" s="34" t="str">
        <f t="shared" si="4"/>
        <v>F</v>
      </c>
      <c r="K17" s="35" t="str">
        <f t="shared" si="5"/>
        <v>Fail</v>
      </c>
    </row>
    <row r="18" spans="1:11" ht="23.4" x14ac:dyDescent="0.45">
      <c r="A18" s="31">
        <v>15</v>
      </c>
      <c r="B18" s="31" t="s">
        <v>17</v>
      </c>
      <c r="C18" s="31">
        <v>15</v>
      </c>
      <c r="D18" s="31">
        <v>86</v>
      </c>
      <c r="E18" s="31">
        <v>49</v>
      </c>
      <c r="F18" s="32">
        <f t="shared" si="0"/>
        <v>150</v>
      </c>
      <c r="G18" s="32">
        <f t="shared" si="1"/>
        <v>86</v>
      </c>
      <c r="H18" s="32">
        <f t="shared" si="2"/>
        <v>15</v>
      </c>
      <c r="I18" s="33">
        <f t="shared" si="3"/>
        <v>50</v>
      </c>
      <c r="J18" s="34" t="str">
        <f t="shared" si="4"/>
        <v>D</v>
      </c>
      <c r="K18" s="35" t="str">
        <f t="shared" si="5"/>
        <v>Pass</v>
      </c>
    </row>
    <row r="19" spans="1:11" ht="23.4" x14ac:dyDescent="0.45">
      <c r="A19" s="31">
        <v>16</v>
      </c>
      <c r="B19" s="31" t="s">
        <v>18</v>
      </c>
      <c r="C19" s="31">
        <v>68</v>
      </c>
      <c r="D19" s="31">
        <v>33</v>
      </c>
      <c r="E19" s="31">
        <v>23</v>
      </c>
      <c r="F19" s="32">
        <f t="shared" si="0"/>
        <v>124</v>
      </c>
      <c r="G19" s="32">
        <f t="shared" si="1"/>
        <v>68</v>
      </c>
      <c r="H19" s="32">
        <f t="shared" si="2"/>
        <v>23</v>
      </c>
      <c r="I19" s="33">
        <f t="shared" si="3"/>
        <v>41.333333333333336</v>
      </c>
      <c r="J19" s="34" t="str">
        <f t="shared" si="4"/>
        <v>D</v>
      </c>
      <c r="K19" s="35" t="str">
        <f t="shared" si="5"/>
        <v>Pass</v>
      </c>
    </row>
    <row r="20" spans="1:11" ht="23.4" x14ac:dyDescent="0.45">
      <c r="A20" s="31">
        <v>17</v>
      </c>
      <c r="B20" s="31" t="s">
        <v>19</v>
      </c>
      <c r="C20" s="31">
        <v>74</v>
      </c>
      <c r="D20" s="31">
        <v>45</v>
      </c>
      <c r="E20" s="31">
        <v>76</v>
      </c>
      <c r="F20" s="32">
        <f t="shared" si="0"/>
        <v>195</v>
      </c>
      <c r="G20" s="32">
        <f t="shared" si="1"/>
        <v>76</v>
      </c>
      <c r="H20" s="32">
        <f t="shared" si="2"/>
        <v>45</v>
      </c>
      <c r="I20" s="33">
        <f t="shared" si="3"/>
        <v>65</v>
      </c>
      <c r="J20" s="34" t="str">
        <f t="shared" si="4"/>
        <v>B</v>
      </c>
      <c r="K20" s="35" t="str">
        <f t="shared" si="5"/>
        <v>Pass</v>
      </c>
    </row>
    <row r="21" spans="1:11" ht="23.4" x14ac:dyDescent="0.45">
      <c r="A21" s="31">
        <v>18</v>
      </c>
      <c r="B21" s="31" t="s">
        <v>20</v>
      </c>
      <c r="C21" s="31">
        <v>54</v>
      </c>
      <c r="D21" s="31">
        <v>87</v>
      </c>
      <c r="E21" s="31">
        <v>54</v>
      </c>
      <c r="F21" s="32">
        <f t="shared" si="0"/>
        <v>195</v>
      </c>
      <c r="G21" s="32">
        <f t="shared" si="1"/>
        <v>87</v>
      </c>
      <c r="H21" s="32">
        <f t="shared" si="2"/>
        <v>54</v>
      </c>
      <c r="I21" s="33">
        <f t="shared" si="3"/>
        <v>65</v>
      </c>
      <c r="J21" s="34" t="str">
        <f t="shared" si="4"/>
        <v>B</v>
      </c>
      <c r="K21" s="35" t="str">
        <f t="shared" si="5"/>
        <v>Pass</v>
      </c>
    </row>
    <row r="22" spans="1:11" ht="23.4" x14ac:dyDescent="0.45">
      <c r="A22" s="31">
        <v>19</v>
      </c>
      <c r="B22" s="31" t="s">
        <v>21</v>
      </c>
      <c r="C22" s="31">
        <v>88</v>
      </c>
      <c r="D22" s="31">
        <v>25</v>
      </c>
      <c r="E22" s="31">
        <v>88</v>
      </c>
      <c r="F22" s="32">
        <f t="shared" si="0"/>
        <v>201</v>
      </c>
      <c r="G22" s="32">
        <f t="shared" si="1"/>
        <v>88</v>
      </c>
      <c r="H22" s="32">
        <f t="shared" si="2"/>
        <v>25</v>
      </c>
      <c r="I22" s="33">
        <f t="shared" si="3"/>
        <v>67</v>
      </c>
      <c r="J22" s="34" t="str">
        <f t="shared" si="4"/>
        <v>B</v>
      </c>
      <c r="K22" s="35" t="str">
        <f t="shared" si="5"/>
        <v>Pass</v>
      </c>
    </row>
    <row r="23" spans="1:11" ht="23.4" x14ac:dyDescent="0.45">
      <c r="A23" s="31">
        <v>20</v>
      </c>
      <c r="B23" s="31" t="s">
        <v>22</v>
      </c>
      <c r="C23" s="31">
        <v>6</v>
      </c>
      <c r="D23" s="31">
        <v>63</v>
      </c>
      <c r="E23" s="31">
        <v>16</v>
      </c>
      <c r="F23" s="32">
        <f t="shared" si="0"/>
        <v>85</v>
      </c>
      <c r="G23" s="32">
        <f t="shared" si="1"/>
        <v>63</v>
      </c>
      <c r="H23" s="32">
        <f t="shared" si="2"/>
        <v>6</v>
      </c>
      <c r="I23" s="33">
        <f t="shared" si="3"/>
        <v>28.333333333333332</v>
      </c>
      <c r="J23" s="34" t="str">
        <f t="shared" si="4"/>
        <v>F</v>
      </c>
      <c r="K23" s="35" t="str">
        <f t="shared" si="5"/>
        <v>Fail</v>
      </c>
    </row>
    <row r="24" spans="1:11" ht="23.4" x14ac:dyDescent="0.45">
      <c r="A24" s="31">
        <v>21</v>
      </c>
      <c r="B24" s="31" t="s">
        <v>23</v>
      </c>
      <c r="C24" s="31">
        <v>49</v>
      </c>
      <c r="D24" s="31">
        <v>95</v>
      </c>
      <c r="E24" s="31">
        <v>86</v>
      </c>
      <c r="F24" s="32">
        <f t="shared" si="0"/>
        <v>230</v>
      </c>
      <c r="G24" s="32">
        <f t="shared" si="1"/>
        <v>95</v>
      </c>
      <c r="H24" s="32">
        <f t="shared" si="2"/>
        <v>49</v>
      </c>
      <c r="I24" s="33">
        <f t="shared" si="3"/>
        <v>76.666666666666671</v>
      </c>
      <c r="J24" s="34" t="str">
        <f t="shared" si="4"/>
        <v>A</v>
      </c>
      <c r="K24" s="35" t="str">
        <f t="shared" si="5"/>
        <v>Pass</v>
      </c>
    </row>
    <row r="25" spans="1:11" ht="23.4" x14ac:dyDescent="0.45">
      <c r="A25" s="31">
        <v>22</v>
      </c>
      <c r="B25" s="31" t="s">
        <v>24</v>
      </c>
      <c r="C25" s="31">
        <v>23</v>
      </c>
      <c r="D25" s="31">
        <v>64</v>
      </c>
      <c r="E25" s="31">
        <v>33</v>
      </c>
      <c r="F25" s="32">
        <f t="shared" si="0"/>
        <v>120</v>
      </c>
      <c r="G25" s="32">
        <f t="shared" si="1"/>
        <v>64</v>
      </c>
      <c r="H25" s="32">
        <f t="shared" si="2"/>
        <v>23</v>
      </c>
      <c r="I25" s="33">
        <f t="shared" si="3"/>
        <v>40</v>
      </c>
      <c r="J25" s="34" t="str">
        <f t="shared" si="4"/>
        <v>F</v>
      </c>
      <c r="K25" s="35" t="str">
        <f t="shared" si="5"/>
        <v>Pass</v>
      </c>
    </row>
    <row r="26" spans="1:11" ht="23.4" x14ac:dyDescent="0.45">
      <c r="A26" s="31">
        <v>23</v>
      </c>
      <c r="B26" s="31" t="s">
        <v>25</v>
      </c>
      <c r="C26" s="31">
        <v>76</v>
      </c>
      <c r="D26" s="31">
        <v>26</v>
      </c>
      <c r="E26" s="31">
        <v>45</v>
      </c>
      <c r="F26" s="32">
        <f t="shared" si="0"/>
        <v>147</v>
      </c>
      <c r="G26" s="32">
        <f t="shared" si="1"/>
        <v>76</v>
      </c>
      <c r="H26" s="32">
        <f t="shared" si="2"/>
        <v>26</v>
      </c>
      <c r="I26" s="33">
        <f t="shared" si="3"/>
        <v>49</v>
      </c>
      <c r="J26" s="34" t="str">
        <f t="shared" si="4"/>
        <v>D</v>
      </c>
      <c r="K26" s="35" t="str">
        <f t="shared" si="5"/>
        <v>Pass</v>
      </c>
    </row>
    <row r="27" spans="1:11" ht="23.4" x14ac:dyDescent="0.45">
      <c r="A27" s="31">
        <v>24</v>
      </c>
      <c r="B27" s="31" t="s">
        <v>26</v>
      </c>
      <c r="C27" s="31">
        <v>54</v>
      </c>
      <c r="D27" s="31">
        <v>40</v>
      </c>
      <c r="E27" s="31">
        <v>87</v>
      </c>
      <c r="F27" s="32">
        <f t="shared" si="0"/>
        <v>181</v>
      </c>
      <c r="G27" s="32">
        <f t="shared" si="1"/>
        <v>87</v>
      </c>
      <c r="H27" s="32">
        <f t="shared" si="2"/>
        <v>40</v>
      </c>
      <c r="I27" s="33">
        <f t="shared" si="3"/>
        <v>60.333333333333336</v>
      </c>
      <c r="J27" s="34" t="str">
        <f t="shared" si="4"/>
        <v>B</v>
      </c>
      <c r="K27" s="35" t="str">
        <f t="shared" si="5"/>
        <v>Pass</v>
      </c>
    </row>
    <row r="28" spans="1:11" ht="23.4" x14ac:dyDescent="0.45">
      <c r="A28" s="31">
        <v>25</v>
      </c>
      <c r="B28" s="31" t="s">
        <v>27</v>
      </c>
      <c r="C28" s="31">
        <v>88</v>
      </c>
      <c r="D28" s="31">
        <v>65</v>
      </c>
      <c r="E28" s="31">
        <v>47</v>
      </c>
      <c r="F28" s="32">
        <f t="shared" si="0"/>
        <v>200</v>
      </c>
      <c r="G28" s="32">
        <f t="shared" si="1"/>
        <v>88</v>
      </c>
      <c r="H28" s="32">
        <f t="shared" si="2"/>
        <v>47</v>
      </c>
      <c r="I28" s="33">
        <f t="shared" si="3"/>
        <v>66.666666666666657</v>
      </c>
      <c r="J28" s="34" t="str">
        <f t="shared" si="4"/>
        <v>B</v>
      </c>
      <c r="K28" s="35" t="str">
        <f t="shared" si="5"/>
        <v>Pass</v>
      </c>
    </row>
    <row r="29" spans="1:11" ht="23.4" x14ac:dyDescent="0.45">
      <c r="A29" s="31">
        <v>26</v>
      </c>
      <c r="B29" s="31" t="s">
        <v>28</v>
      </c>
      <c r="C29" s="31">
        <v>16</v>
      </c>
      <c r="D29" s="31">
        <v>15</v>
      </c>
      <c r="E29" s="31">
        <v>46</v>
      </c>
      <c r="F29" s="32">
        <f t="shared" si="0"/>
        <v>77</v>
      </c>
      <c r="G29" s="32">
        <f t="shared" si="1"/>
        <v>46</v>
      </c>
      <c r="H29" s="32">
        <f t="shared" si="2"/>
        <v>15</v>
      </c>
      <c r="I29" s="33">
        <f t="shared" si="3"/>
        <v>25.666666666666664</v>
      </c>
      <c r="J29" s="34" t="str">
        <f t="shared" si="4"/>
        <v>F</v>
      </c>
      <c r="K29" s="35" t="str">
        <f t="shared" si="5"/>
        <v>Fail</v>
      </c>
    </row>
    <row r="30" spans="1:11" ht="23.4" x14ac:dyDescent="0.45">
      <c r="A30" s="31">
        <v>27</v>
      </c>
      <c r="B30" s="31" t="s">
        <v>29</v>
      </c>
      <c r="C30" s="31">
        <v>86</v>
      </c>
      <c r="D30" s="31">
        <v>68</v>
      </c>
      <c r="E30" s="31">
        <v>25</v>
      </c>
      <c r="F30" s="32">
        <f t="shared" si="0"/>
        <v>179</v>
      </c>
      <c r="G30" s="32">
        <f t="shared" si="1"/>
        <v>86</v>
      </c>
      <c r="H30" s="32">
        <f t="shared" si="2"/>
        <v>25</v>
      </c>
      <c r="I30" s="33">
        <f t="shared" si="3"/>
        <v>59.666666666666671</v>
      </c>
      <c r="J30" s="34" t="str">
        <f t="shared" si="4"/>
        <v>C</v>
      </c>
      <c r="K30" s="35" t="str">
        <f t="shared" si="5"/>
        <v>Pass</v>
      </c>
    </row>
    <row r="31" spans="1:11" ht="23.4" x14ac:dyDescent="0.45">
      <c r="A31" s="31">
        <v>28</v>
      </c>
      <c r="B31" s="31" t="s">
        <v>30</v>
      </c>
      <c r="C31" s="31">
        <v>33</v>
      </c>
      <c r="D31" s="31">
        <v>74</v>
      </c>
      <c r="E31" s="31">
        <v>63</v>
      </c>
      <c r="F31" s="32">
        <f t="shared" si="0"/>
        <v>170</v>
      </c>
      <c r="G31" s="32">
        <f t="shared" si="1"/>
        <v>74</v>
      </c>
      <c r="H31" s="32">
        <f t="shared" si="2"/>
        <v>33</v>
      </c>
      <c r="I31" s="33">
        <f t="shared" si="3"/>
        <v>56.666666666666664</v>
      </c>
      <c r="J31" s="34" t="str">
        <f t="shared" si="4"/>
        <v>C</v>
      </c>
      <c r="K31" s="35" t="str">
        <f t="shared" si="5"/>
        <v>Pass</v>
      </c>
    </row>
    <row r="32" spans="1:11" ht="23.4" x14ac:dyDescent="0.45">
      <c r="A32" s="31">
        <v>29</v>
      </c>
      <c r="B32" s="31" t="s">
        <v>31</v>
      </c>
      <c r="C32" s="31">
        <v>45</v>
      </c>
      <c r="D32" s="31">
        <v>67</v>
      </c>
      <c r="E32" s="31">
        <v>95</v>
      </c>
      <c r="F32" s="32">
        <f t="shared" si="0"/>
        <v>207</v>
      </c>
      <c r="G32" s="32">
        <f t="shared" si="1"/>
        <v>95</v>
      </c>
      <c r="H32" s="32">
        <f t="shared" si="2"/>
        <v>45</v>
      </c>
      <c r="I32" s="33">
        <f t="shared" si="3"/>
        <v>69</v>
      </c>
      <c r="J32" s="34" t="str">
        <f t="shared" si="4"/>
        <v>B</v>
      </c>
      <c r="K32" s="35" t="str">
        <f t="shared" si="5"/>
        <v>Pass</v>
      </c>
    </row>
    <row r="33" spans="1:13" ht="23.4" x14ac:dyDescent="0.45">
      <c r="A33" s="31">
        <v>30</v>
      </c>
      <c r="B33" s="31" t="s">
        <v>32</v>
      </c>
      <c r="C33" s="31">
        <v>87</v>
      </c>
      <c r="D33" s="31">
        <v>34</v>
      </c>
      <c r="E33" s="31">
        <v>64</v>
      </c>
      <c r="F33" s="32">
        <f t="shared" si="0"/>
        <v>185</v>
      </c>
      <c r="G33" s="32">
        <f t="shared" si="1"/>
        <v>87</v>
      </c>
      <c r="H33" s="32">
        <f t="shared" si="2"/>
        <v>34</v>
      </c>
      <c r="I33" s="33">
        <f t="shared" si="3"/>
        <v>61.666666666666671</v>
      </c>
      <c r="J33" s="34" t="str">
        <f>IF(I33&gt;70,"A",IF(I33&gt;60,"B",IF(I33&gt;50,"C",IF(I33&gt;40,"D","F"))))</f>
        <v>B</v>
      </c>
      <c r="K33" s="35" t="str">
        <f t="shared" si="5"/>
        <v>Pass</v>
      </c>
    </row>
    <row r="34" spans="1:13" ht="18" x14ac:dyDescent="0.35">
      <c r="E34" s="5"/>
    </row>
    <row r="35" spans="1:13" ht="23.4" x14ac:dyDescent="0.45">
      <c r="A35" s="13" t="s">
        <v>97</v>
      </c>
      <c r="B35" s="11"/>
      <c r="C35" s="11"/>
      <c r="D35" s="11"/>
      <c r="E35" s="12"/>
      <c r="F35" s="11"/>
      <c r="G35" s="11"/>
      <c r="H35" s="11"/>
      <c r="I35" s="11"/>
      <c r="J35" s="11"/>
      <c r="K35" s="11"/>
      <c r="L35" s="11"/>
      <c r="M35" s="11"/>
    </row>
    <row r="36" spans="1:13" ht="18" x14ac:dyDescent="0.35">
      <c r="A36" s="6">
        <f>COUNTIFS(I4:I33,"&gt;60")</f>
        <v>12</v>
      </c>
      <c r="E36" s="5"/>
    </row>
    <row r="37" spans="1:13" ht="21" x14ac:dyDescent="0.4">
      <c r="A37" s="17"/>
      <c r="B37" s="3"/>
      <c r="C37" s="3"/>
      <c r="D37" s="3"/>
      <c r="E37" s="3"/>
    </row>
    <row r="38" spans="1:13" ht="23.4" x14ac:dyDescent="0.45">
      <c r="A38" s="21" t="s">
        <v>109</v>
      </c>
      <c r="B38" s="21" t="s">
        <v>110</v>
      </c>
      <c r="C38" s="21"/>
      <c r="D38" s="22"/>
      <c r="E38" s="22"/>
    </row>
    <row r="39" spans="1:13" ht="18" x14ac:dyDescent="0.35">
      <c r="A39" s="23">
        <f>COUNTIF(C4:C33,"&gt;50")</f>
        <v>18</v>
      </c>
    </row>
    <row r="40" spans="1:13" ht="18" x14ac:dyDescent="0.35">
      <c r="A40" s="16"/>
    </row>
    <row r="41" spans="1:13" ht="23.4" x14ac:dyDescent="0.45">
      <c r="A41" s="21" t="s">
        <v>111</v>
      </c>
      <c r="B41" s="24"/>
      <c r="C41" s="24"/>
    </row>
    <row r="43" spans="1:13" ht="18" x14ac:dyDescent="0.35">
      <c r="A43" s="6">
        <f>COUNTIFS(K4:K33,"Fail")</f>
        <v>3</v>
      </c>
    </row>
    <row r="44" spans="1:13" ht="21" x14ac:dyDescent="0.4">
      <c r="A44" s="25" t="s">
        <v>112</v>
      </c>
      <c r="B44" s="25"/>
      <c r="C44" s="25"/>
      <c r="D44" s="25"/>
      <c r="E44" s="24"/>
    </row>
    <row r="46" spans="1:13" ht="23.4" x14ac:dyDescent="0.45">
      <c r="A46" s="19" cm="1">
        <f t="array" ref="A46:J48">_xlfn._xlws.FILTER(A4:J33,(C4:C33&gt;50) * (D4:D33&gt;70))</f>
        <v>5</v>
      </c>
      <c r="B46" s="19" t="str">
        <v>Rahul</v>
      </c>
      <c r="C46" s="19">
        <v>96</v>
      </c>
      <c r="D46" s="19">
        <v>95</v>
      </c>
      <c r="E46" s="19">
        <v>86</v>
      </c>
      <c r="F46" s="19">
        <v>277</v>
      </c>
      <c r="G46" s="19">
        <v>96</v>
      </c>
      <c r="H46" s="19">
        <v>86</v>
      </c>
      <c r="I46" s="19">
        <v>92.333333333333329</v>
      </c>
      <c r="J46" s="19" t="str">
        <v>A</v>
      </c>
    </row>
    <row r="47" spans="1:13" ht="23.4" x14ac:dyDescent="0.45">
      <c r="A47" s="19">
        <v>11</v>
      </c>
      <c r="B47" s="19" t="str">
        <v>Rohit</v>
      </c>
      <c r="C47" s="19">
        <v>64</v>
      </c>
      <c r="D47" s="19">
        <v>76</v>
      </c>
      <c r="E47" s="19">
        <v>95</v>
      </c>
      <c r="F47" s="19">
        <v>235</v>
      </c>
      <c r="G47" s="19">
        <v>95</v>
      </c>
      <c r="H47" s="19">
        <v>64</v>
      </c>
      <c r="I47" s="19">
        <v>78.333333333333329</v>
      </c>
      <c r="J47" s="19" t="str">
        <v>A</v>
      </c>
    </row>
    <row r="48" spans="1:13" ht="23.4" x14ac:dyDescent="0.45">
      <c r="A48" s="19">
        <v>18</v>
      </c>
      <c r="B48" s="19" t="str">
        <v>Nisha</v>
      </c>
      <c r="C48" s="19">
        <v>54</v>
      </c>
      <c r="D48" s="19">
        <v>87</v>
      </c>
      <c r="E48" s="19">
        <v>54</v>
      </c>
      <c r="F48" s="19">
        <v>195</v>
      </c>
      <c r="G48" s="19">
        <v>87</v>
      </c>
      <c r="H48" s="19">
        <v>54</v>
      </c>
      <c r="I48" s="19">
        <v>65</v>
      </c>
      <c r="J48" s="19" t="str">
        <v>B</v>
      </c>
    </row>
    <row r="50" spans="1:11" ht="25.8" x14ac:dyDescent="0.5">
      <c r="A50" s="27" t="s">
        <v>116</v>
      </c>
      <c r="B50" s="24"/>
    </row>
    <row r="52" spans="1:11" ht="21" x14ac:dyDescent="0.4">
      <c r="A52" s="36" cm="1">
        <f t="array" ref="A52:K54">_xlfn._xlws.FILTER(A3:K33, (K3:K33="Fail"), "No found")</f>
        <v>14</v>
      </c>
      <c r="B52" s="36" t="str">
        <v>Kavita</v>
      </c>
      <c r="C52" s="36">
        <v>65</v>
      </c>
      <c r="D52" s="36">
        <v>16</v>
      </c>
      <c r="E52" s="36">
        <v>9</v>
      </c>
      <c r="F52" s="36">
        <v>90</v>
      </c>
      <c r="G52" s="36">
        <v>65</v>
      </c>
      <c r="H52" s="36">
        <v>9</v>
      </c>
      <c r="I52" s="36">
        <v>30</v>
      </c>
      <c r="J52" s="36" t="str">
        <v>F</v>
      </c>
      <c r="K52" s="36" t="str">
        <v>Fail</v>
      </c>
    </row>
    <row r="53" spans="1:11" ht="21" x14ac:dyDescent="0.4">
      <c r="A53" s="36">
        <v>20</v>
      </c>
      <c r="B53" s="36" t="str">
        <v>Meena</v>
      </c>
      <c r="C53" s="36">
        <v>6</v>
      </c>
      <c r="D53" s="36">
        <v>63</v>
      </c>
      <c r="E53" s="36">
        <v>16</v>
      </c>
      <c r="F53" s="36">
        <v>85</v>
      </c>
      <c r="G53" s="36">
        <v>63</v>
      </c>
      <c r="H53" s="36">
        <v>6</v>
      </c>
      <c r="I53" s="36">
        <v>28.333333333333332</v>
      </c>
      <c r="J53" s="36" t="str">
        <v>F</v>
      </c>
      <c r="K53" s="36" t="str">
        <v>Fail</v>
      </c>
    </row>
    <row r="54" spans="1:11" ht="21" x14ac:dyDescent="0.4">
      <c r="A54" s="36">
        <v>26</v>
      </c>
      <c r="B54" s="36" t="str">
        <v>Rekha</v>
      </c>
      <c r="C54" s="36">
        <v>16</v>
      </c>
      <c r="D54" s="36">
        <v>15</v>
      </c>
      <c r="E54" s="36">
        <v>46</v>
      </c>
      <c r="F54" s="36">
        <v>77</v>
      </c>
      <c r="G54" s="36">
        <v>46</v>
      </c>
      <c r="H54" s="36">
        <v>15</v>
      </c>
      <c r="I54" s="36">
        <v>25.666666666666664</v>
      </c>
      <c r="J54" s="36" t="str">
        <v>F</v>
      </c>
      <c r="K54" s="36" t="str">
        <v>Fail</v>
      </c>
    </row>
    <row r="64" spans="1:11" ht="23.4" x14ac:dyDescent="0.45">
      <c r="B64" s="7"/>
      <c r="C64" s="7"/>
      <c r="D64" s="7"/>
      <c r="E64" s="7"/>
    </row>
  </sheetData>
  <conditionalFormatting sqref="J4:J33">
    <cfRule type="colorScale" priority="1">
      <colorScale>
        <cfvo type="min"/>
        <cfvo type="max"/>
        <color rgb="FF63BE7B"/>
        <color rgb="FFFCFCFF"/>
      </colorScale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{2A5574AF-4057-44AC-886E-AE98F2423D6B}</x14:id>
        </ext>
      </extLst>
    </cfRule>
  </conditionalFormatting>
  <conditionalFormatting sqref="K4:K3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{8D31D829-A47E-4E43-9ED2-D5821306D91F}</x14:id>
        </ext>
      </extLst>
    </cfRule>
    <cfRule type="colorScale" priority="4">
      <colorScale>
        <cfvo type="min"/>
        <cfvo type="max"/>
        <color rgb="FFFF7128"/>
        <color rgb="FFFFEF9C"/>
      </colorScale>
    </cfRule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5574AF-4057-44AC-886E-AE98F2423D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J4:J33</xm:sqref>
        </x14:conditionalFormatting>
        <x14:conditionalFormatting xmlns:xm="http://schemas.microsoft.com/office/excel/2006/main">
          <x14:cfRule type="dataBar" id="{8D31D829-A47E-4E43-9ED2-D5821306D9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K4:K33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33"/>
  <sheetViews>
    <sheetView topLeftCell="A15" workbookViewId="0">
      <selection activeCell="P18" sqref="P18"/>
    </sheetView>
  </sheetViews>
  <sheetFormatPr defaultRowHeight="14.4" x14ac:dyDescent="0.3"/>
  <cols>
    <col min="5" max="5" width="11.33203125" bestFit="1" customWidth="1"/>
    <col min="12" max="12" width="13.6640625" customWidth="1"/>
  </cols>
  <sheetData>
    <row r="2" spans="1:15" ht="21" x14ac:dyDescent="0.4">
      <c r="G2" s="9" t="s">
        <v>102</v>
      </c>
      <c r="H2" s="2"/>
      <c r="I2" s="2"/>
      <c r="J2" s="2"/>
      <c r="M2" s="26"/>
    </row>
    <row r="3" spans="1:15" x14ac:dyDescent="0.3">
      <c r="A3" t="s">
        <v>59</v>
      </c>
      <c r="B3" t="s">
        <v>1</v>
      </c>
      <c r="C3" t="s">
        <v>60</v>
      </c>
      <c r="D3" t="s">
        <v>61</v>
      </c>
      <c r="E3" t="s">
        <v>62</v>
      </c>
      <c r="G3" s="37" t="s">
        <v>99</v>
      </c>
      <c r="H3" s="37" t="s">
        <v>100</v>
      </c>
      <c r="I3" s="37" t="s">
        <v>101</v>
      </c>
      <c r="L3" s="38" t="s">
        <v>114</v>
      </c>
    </row>
    <row r="4" spans="1:15" x14ac:dyDescent="0.3">
      <c r="A4">
        <v>1</v>
      </c>
      <c r="B4" t="s">
        <v>63</v>
      </c>
      <c r="C4" t="s">
        <v>64</v>
      </c>
      <c r="D4">
        <v>78825</v>
      </c>
      <c r="E4" s="1">
        <v>45597</v>
      </c>
      <c r="G4" s="4">
        <f>DAY(E4)</f>
        <v>1</v>
      </c>
      <c r="H4" s="4">
        <f>MONTH(E4)</f>
        <v>11</v>
      </c>
      <c r="I4" s="4">
        <f>YEAR(E4)</f>
        <v>2024</v>
      </c>
      <c r="L4" s="18">
        <f>COUNT(D4:D33,"&gt;50000")</f>
        <v>30</v>
      </c>
    </row>
    <row r="5" spans="1:15" x14ac:dyDescent="0.3">
      <c r="A5">
        <v>2</v>
      </c>
      <c r="B5" t="s">
        <v>65</v>
      </c>
      <c r="C5" t="s">
        <v>66</v>
      </c>
      <c r="D5">
        <v>77650</v>
      </c>
      <c r="E5" s="1">
        <v>44126</v>
      </c>
      <c r="G5" s="4">
        <f t="shared" ref="G5:G32" si="0">DAY(E5)</f>
        <v>22</v>
      </c>
      <c r="H5" s="4">
        <f t="shared" ref="H5:H33" si="1">MONTH(E5)</f>
        <v>10</v>
      </c>
      <c r="I5" s="4">
        <f t="shared" ref="I5:I33" si="2">YEAR(E5)</f>
        <v>2020</v>
      </c>
    </row>
    <row r="6" spans="1:15" ht="15.6" x14ac:dyDescent="0.3">
      <c r="A6">
        <v>3</v>
      </c>
      <c r="B6" t="s">
        <v>67</v>
      </c>
      <c r="C6" t="s">
        <v>68</v>
      </c>
      <c r="D6">
        <v>40498</v>
      </c>
      <c r="E6" s="1">
        <v>45398</v>
      </c>
      <c r="G6" s="4">
        <f t="shared" si="0"/>
        <v>16</v>
      </c>
      <c r="H6" s="4">
        <f t="shared" si="1"/>
        <v>4</v>
      </c>
      <c r="I6" s="4">
        <f t="shared" si="2"/>
        <v>2024</v>
      </c>
      <c r="L6" s="40" t="s">
        <v>115</v>
      </c>
      <c r="M6" s="41"/>
      <c r="N6" s="41"/>
      <c r="O6" s="41"/>
    </row>
    <row r="7" spans="1:15" x14ac:dyDescent="0.3">
      <c r="A7">
        <v>4</v>
      </c>
      <c r="B7" t="s">
        <v>69</v>
      </c>
      <c r="C7" t="s">
        <v>68</v>
      </c>
      <c r="D7">
        <v>74529</v>
      </c>
      <c r="E7" s="1">
        <v>44836</v>
      </c>
      <c r="G7" s="4">
        <f t="shared" si="0"/>
        <v>2</v>
      </c>
      <c r="H7" s="4">
        <f t="shared" si="1"/>
        <v>10</v>
      </c>
      <c r="I7" s="4">
        <f t="shared" si="2"/>
        <v>2022</v>
      </c>
      <c r="L7" s="18" t="str" cm="1">
        <f t="array" ref="L7:M11">_xlfn._xlws.FILTER(C4:D33,(C4:C33="IT") * (D4:D33&gt;45000),"No Found")</f>
        <v>IT</v>
      </c>
      <c r="M7" s="18">
        <v>78825</v>
      </c>
      <c r="N7" s="18"/>
      <c r="O7" s="18"/>
    </row>
    <row r="8" spans="1:15" x14ac:dyDescent="0.3">
      <c r="A8">
        <v>5</v>
      </c>
      <c r="B8" t="s">
        <v>70</v>
      </c>
      <c r="C8" t="s">
        <v>66</v>
      </c>
      <c r="D8">
        <v>61091</v>
      </c>
      <c r="E8" s="1">
        <v>44176</v>
      </c>
      <c r="G8" s="4">
        <f t="shared" si="0"/>
        <v>11</v>
      </c>
      <c r="H8" s="4">
        <f t="shared" si="1"/>
        <v>12</v>
      </c>
      <c r="I8" s="4">
        <f t="shared" si="2"/>
        <v>2020</v>
      </c>
      <c r="L8" s="18" t="str">
        <v>IT</v>
      </c>
      <c r="M8" s="18">
        <v>67805</v>
      </c>
      <c r="N8" s="18"/>
      <c r="O8" s="18"/>
    </row>
    <row r="9" spans="1:15" x14ac:dyDescent="0.3">
      <c r="A9">
        <v>6</v>
      </c>
      <c r="B9" t="s">
        <v>71</v>
      </c>
      <c r="C9" t="s">
        <v>68</v>
      </c>
      <c r="D9">
        <v>30394</v>
      </c>
      <c r="E9" s="1">
        <v>44972</v>
      </c>
      <c r="G9" s="4">
        <f t="shared" si="0"/>
        <v>15</v>
      </c>
      <c r="H9" s="4">
        <f t="shared" si="1"/>
        <v>2</v>
      </c>
      <c r="I9" s="4">
        <f t="shared" si="2"/>
        <v>2023</v>
      </c>
      <c r="L9" s="18" t="str">
        <v>IT</v>
      </c>
      <c r="M9" s="18">
        <v>53373</v>
      </c>
      <c r="N9" s="18"/>
      <c r="O9" s="18"/>
    </row>
    <row r="10" spans="1:15" x14ac:dyDescent="0.3">
      <c r="A10">
        <v>7</v>
      </c>
      <c r="B10" t="s">
        <v>72</v>
      </c>
      <c r="C10" t="s">
        <v>66</v>
      </c>
      <c r="D10">
        <v>26578</v>
      </c>
      <c r="E10" s="1">
        <v>44861</v>
      </c>
      <c r="G10" s="4">
        <f t="shared" si="0"/>
        <v>27</v>
      </c>
      <c r="H10" s="4">
        <f t="shared" si="1"/>
        <v>10</v>
      </c>
      <c r="I10" s="4">
        <f t="shared" si="2"/>
        <v>2022</v>
      </c>
      <c r="L10" s="18" t="str">
        <v>IT</v>
      </c>
      <c r="M10" s="18">
        <v>75815</v>
      </c>
      <c r="N10" s="18"/>
      <c r="O10" s="18"/>
    </row>
    <row r="11" spans="1:15" x14ac:dyDescent="0.3">
      <c r="A11">
        <v>8</v>
      </c>
      <c r="B11" t="s">
        <v>73</v>
      </c>
      <c r="C11" t="s">
        <v>64</v>
      </c>
      <c r="D11">
        <v>31734</v>
      </c>
      <c r="E11" s="1">
        <v>45597</v>
      </c>
      <c r="G11" s="4">
        <f t="shared" si="0"/>
        <v>1</v>
      </c>
      <c r="H11" s="4">
        <f t="shared" si="1"/>
        <v>11</v>
      </c>
      <c r="I11" s="4">
        <f t="shared" si="2"/>
        <v>2024</v>
      </c>
      <c r="L11" s="18" t="str">
        <v>IT</v>
      </c>
      <c r="M11" s="18">
        <v>76555</v>
      </c>
      <c r="N11" s="18"/>
      <c r="O11" s="18"/>
    </row>
    <row r="12" spans="1:15" x14ac:dyDescent="0.3">
      <c r="A12">
        <v>9</v>
      </c>
      <c r="B12" t="s">
        <v>74</v>
      </c>
      <c r="C12" t="s">
        <v>64</v>
      </c>
      <c r="D12">
        <v>67805</v>
      </c>
      <c r="E12" s="1">
        <v>44749</v>
      </c>
      <c r="G12" s="4">
        <f t="shared" si="0"/>
        <v>7</v>
      </c>
      <c r="H12" s="4">
        <f t="shared" si="1"/>
        <v>7</v>
      </c>
      <c r="I12" s="4">
        <f t="shared" si="2"/>
        <v>2022</v>
      </c>
    </row>
    <row r="13" spans="1:15" x14ac:dyDescent="0.3">
      <c r="A13">
        <v>10</v>
      </c>
      <c r="B13" t="s">
        <v>75</v>
      </c>
      <c r="C13" t="s">
        <v>66</v>
      </c>
      <c r="D13">
        <v>77495</v>
      </c>
      <c r="E13" s="1">
        <v>45186</v>
      </c>
      <c r="G13" s="4">
        <f t="shared" si="0"/>
        <v>17</v>
      </c>
      <c r="H13" s="4">
        <f t="shared" si="1"/>
        <v>9</v>
      </c>
      <c r="I13" s="4">
        <f t="shared" si="2"/>
        <v>2023</v>
      </c>
    </row>
    <row r="14" spans="1:15" x14ac:dyDescent="0.3">
      <c r="A14">
        <v>11</v>
      </c>
      <c r="B14" t="s">
        <v>76</v>
      </c>
      <c r="C14" t="s">
        <v>77</v>
      </c>
      <c r="D14">
        <v>70289</v>
      </c>
      <c r="E14" s="1">
        <v>44870</v>
      </c>
      <c r="G14" s="4">
        <f t="shared" si="0"/>
        <v>5</v>
      </c>
      <c r="H14" s="4">
        <f t="shared" si="1"/>
        <v>11</v>
      </c>
      <c r="I14" s="4">
        <f t="shared" si="2"/>
        <v>2022</v>
      </c>
    </row>
    <row r="15" spans="1:15" ht="15.6" x14ac:dyDescent="0.3">
      <c r="A15">
        <v>12</v>
      </c>
      <c r="B15" t="s">
        <v>78</v>
      </c>
      <c r="C15" t="s">
        <v>77</v>
      </c>
      <c r="D15">
        <v>30149</v>
      </c>
      <c r="E15" s="1">
        <v>43393</v>
      </c>
      <c r="G15" s="4">
        <f t="shared" si="0"/>
        <v>20</v>
      </c>
      <c r="H15" s="4">
        <f t="shared" si="1"/>
        <v>10</v>
      </c>
      <c r="I15" s="4">
        <f t="shared" si="2"/>
        <v>2018</v>
      </c>
      <c r="L15" s="40" t="s">
        <v>118</v>
      </c>
      <c r="M15" s="40"/>
      <c r="N15" s="40"/>
    </row>
    <row r="16" spans="1:15" x14ac:dyDescent="0.3">
      <c r="A16">
        <v>13</v>
      </c>
      <c r="B16" t="s">
        <v>79</v>
      </c>
      <c r="C16" t="s">
        <v>66</v>
      </c>
      <c r="D16">
        <v>55705</v>
      </c>
      <c r="E16" s="1">
        <v>44524</v>
      </c>
      <c r="G16" s="4">
        <f t="shared" si="0"/>
        <v>24</v>
      </c>
      <c r="H16" s="4">
        <f t="shared" si="1"/>
        <v>11</v>
      </c>
      <c r="I16" s="4">
        <f t="shared" si="2"/>
        <v>2021</v>
      </c>
      <c r="L16" s="18" t="str" cm="1">
        <f t="array" ref="L16:L19">_xlfn.UNIQUE(C4:C33)</f>
        <v>IT</v>
      </c>
      <c r="M16" s="18">
        <f>_xlfn.MAXIFS($D:$D, $C:$C, C15)</f>
        <v>70289</v>
      </c>
      <c r="N16" s="18"/>
    </row>
    <row r="17" spans="1:14" x14ac:dyDescent="0.3">
      <c r="A17">
        <v>14</v>
      </c>
      <c r="B17" t="s">
        <v>80</v>
      </c>
      <c r="C17" t="s">
        <v>64</v>
      </c>
      <c r="D17">
        <v>53373</v>
      </c>
      <c r="E17" s="1">
        <v>44772</v>
      </c>
      <c r="G17" s="4">
        <f t="shared" si="0"/>
        <v>30</v>
      </c>
      <c r="H17" s="4">
        <f t="shared" si="1"/>
        <v>7</v>
      </c>
      <c r="I17" s="4">
        <f t="shared" si="2"/>
        <v>2022</v>
      </c>
      <c r="L17" s="18" t="str">
        <v>Finance</v>
      </c>
      <c r="M17" s="18">
        <f>_xlfn.MAXIFS($D:$D, $C:$C, C16)</f>
        <v>77650</v>
      </c>
      <c r="N17" s="18"/>
    </row>
    <row r="18" spans="1:14" x14ac:dyDescent="0.3">
      <c r="A18">
        <v>15</v>
      </c>
      <c r="B18" t="s">
        <v>81</v>
      </c>
      <c r="C18" t="s">
        <v>68</v>
      </c>
      <c r="D18">
        <v>41265</v>
      </c>
      <c r="E18" s="1">
        <v>43521</v>
      </c>
      <c r="G18" s="4">
        <f t="shared" si="0"/>
        <v>25</v>
      </c>
      <c r="H18" s="4">
        <f t="shared" si="1"/>
        <v>2</v>
      </c>
      <c r="I18" s="4">
        <f t="shared" si="2"/>
        <v>2019</v>
      </c>
      <c r="L18" s="18" t="str">
        <v>Sales</v>
      </c>
      <c r="M18" s="18">
        <f>_xlfn.MAXIFS($D:$D, $C:$C, C17)</f>
        <v>78825</v>
      </c>
      <c r="N18" s="18"/>
    </row>
    <row r="19" spans="1:14" x14ac:dyDescent="0.3">
      <c r="A19">
        <v>16</v>
      </c>
      <c r="B19" t="s">
        <v>82</v>
      </c>
      <c r="C19" t="s">
        <v>77</v>
      </c>
      <c r="D19">
        <v>59710</v>
      </c>
      <c r="E19" s="1">
        <v>44482</v>
      </c>
      <c r="G19" s="4">
        <f t="shared" si="0"/>
        <v>13</v>
      </c>
      <c r="H19" s="4">
        <f t="shared" si="1"/>
        <v>10</v>
      </c>
      <c r="I19" s="4">
        <f t="shared" si="2"/>
        <v>2021</v>
      </c>
      <c r="L19" s="18" t="str">
        <v>HR</v>
      </c>
      <c r="M19" s="18">
        <f>_xlfn.MAXIFS($D:$D, $C:$C, C18)</f>
        <v>79325</v>
      </c>
      <c r="N19" s="18"/>
    </row>
    <row r="20" spans="1:14" x14ac:dyDescent="0.3">
      <c r="A20">
        <v>17</v>
      </c>
      <c r="B20" t="s">
        <v>83</v>
      </c>
      <c r="C20" t="s">
        <v>68</v>
      </c>
      <c r="D20">
        <v>79325</v>
      </c>
      <c r="E20" s="1">
        <v>43778</v>
      </c>
      <c r="G20" s="4">
        <f t="shared" si="0"/>
        <v>9</v>
      </c>
      <c r="H20" s="4">
        <f t="shared" si="1"/>
        <v>11</v>
      </c>
      <c r="I20" s="4">
        <f t="shared" si="2"/>
        <v>2019</v>
      </c>
    </row>
    <row r="21" spans="1:14" x14ac:dyDescent="0.3">
      <c r="A21">
        <v>18</v>
      </c>
      <c r="B21" t="s">
        <v>84</v>
      </c>
      <c r="C21" t="s">
        <v>77</v>
      </c>
      <c r="D21">
        <v>50812</v>
      </c>
      <c r="E21" s="1">
        <v>45146</v>
      </c>
      <c r="G21" s="4">
        <f t="shared" si="0"/>
        <v>8</v>
      </c>
      <c r="H21" s="4">
        <f t="shared" si="1"/>
        <v>8</v>
      </c>
      <c r="I21" s="4">
        <f t="shared" si="2"/>
        <v>2023</v>
      </c>
    </row>
    <row r="22" spans="1:14" x14ac:dyDescent="0.3">
      <c r="A22">
        <v>19</v>
      </c>
      <c r="B22" t="s">
        <v>85</v>
      </c>
      <c r="C22" t="s">
        <v>66</v>
      </c>
      <c r="D22">
        <v>45670</v>
      </c>
      <c r="E22" s="1">
        <v>45441</v>
      </c>
      <c r="G22" s="4">
        <f t="shared" si="0"/>
        <v>29</v>
      </c>
      <c r="H22" s="4">
        <f t="shared" si="1"/>
        <v>5</v>
      </c>
      <c r="I22" s="4">
        <f t="shared" si="2"/>
        <v>2024</v>
      </c>
      <c r="L22" s="41" t="s">
        <v>119</v>
      </c>
      <c r="M22" s="39"/>
      <c r="N22" s="39"/>
    </row>
    <row r="23" spans="1:14" x14ac:dyDescent="0.3">
      <c r="A23">
        <v>20</v>
      </c>
      <c r="B23" t="s">
        <v>86</v>
      </c>
      <c r="C23" t="s">
        <v>68</v>
      </c>
      <c r="D23">
        <v>77957</v>
      </c>
      <c r="E23" s="1">
        <v>45108</v>
      </c>
      <c r="G23" s="4">
        <f t="shared" si="0"/>
        <v>1</v>
      </c>
      <c r="H23" s="4">
        <f t="shared" si="1"/>
        <v>7</v>
      </c>
      <c r="I23" s="4">
        <f t="shared" si="2"/>
        <v>2023</v>
      </c>
      <c r="L23" s="18" t="str" cm="1">
        <f t="array" ref="L23:L26">_xlfn.UNIQUE(C4:C33)</f>
        <v>IT</v>
      </c>
      <c r="M23" s="18">
        <f>_xlfn.MAXIFS(D4:D33,C4:C33,L23)</f>
        <v>78825</v>
      </c>
      <c r="N23" s="18"/>
    </row>
    <row r="24" spans="1:14" x14ac:dyDescent="0.3">
      <c r="A24">
        <v>21</v>
      </c>
      <c r="B24" t="s">
        <v>87</v>
      </c>
      <c r="C24" t="s">
        <v>66</v>
      </c>
      <c r="D24">
        <v>70967</v>
      </c>
      <c r="E24" s="1">
        <v>44969</v>
      </c>
      <c r="G24" s="4">
        <f t="shared" si="0"/>
        <v>12</v>
      </c>
      <c r="H24" s="4">
        <f t="shared" si="1"/>
        <v>2</v>
      </c>
      <c r="I24" s="4">
        <f t="shared" si="2"/>
        <v>2023</v>
      </c>
      <c r="L24" s="18" t="str">
        <v>Finance</v>
      </c>
      <c r="M24" s="18">
        <f t="shared" ref="M24:M26" si="3">_xlfn.MAXIFS(D5:D34,C5:C34,L24)</f>
        <v>77650</v>
      </c>
      <c r="N24" s="18"/>
    </row>
    <row r="25" spans="1:14" x14ac:dyDescent="0.3">
      <c r="A25">
        <v>22</v>
      </c>
      <c r="B25" t="s">
        <v>88</v>
      </c>
      <c r="C25" t="s">
        <v>66</v>
      </c>
      <c r="D25">
        <v>68416</v>
      </c>
      <c r="E25" s="1">
        <v>44057</v>
      </c>
      <c r="G25" s="4">
        <f t="shared" si="0"/>
        <v>14</v>
      </c>
      <c r="H25" s="4">
        <f t="shared" si="1"/>
        <v>8</v>
      </c>
      <c r="I25" s="4">
        <f t="shared" si="2"/>
        <v>2020</v>
      </c>
      <c r="L25" s="18" t="str">
        <v>Sales</v>
      </c>
      <c r="M25" s="18">
        <f t="shared" si="3"/>
        <v>79325</v>
      </c>
      <c r="N25" s="18"/>
    </row>
    <row r="26" spans="1:14" x14ac:dyDescent="0.3">
      <c r="A26">
        <v>23</v>
      </c>
      <c r="B26" t="s">
        <v>89</v>
      </c>
      <c r="C26" t="s">
        <v>77</v>
      </c>
      <c r="D26">
        <v>58517</v>
      </c>
      <c r="E26" s="1">
        <v>44327</v>
      </c>
      <c r="G26" s="4">
        <f t="shared" si="0"/>
        <v>11</v>
      </c>
      <c r="H26" s="4">
        <f t="shared" si="1"/>
        <v>5</v>
      </c>
      <c r="I26" s="4">
        <f t="shared" si="2"/>
        <v>2021</v>
      </c>
      <c r="L26" s="18" t="str">
        <v>HR</v>
      </c>
      <c r="M26" s="18">
        <f t="shared" si="3"/>
        <v>70289</v>
      </c>
      <c r="N26" s="18"/>
    </row>
    <row r="27" spans="1:14" x14ac:dyDescent="0.3">
      <c r="A27">
        <v>24</v>
      </c>
      <c r="B27" t="s">
        <v>90</v>
      </c>
      <c r="C27" t="s">
        <v>64</v>
      </c>
      <c r="D27">
        <v>25058</v>
      </c>
      <c r="E27" s="1">
        <v>44908</v>
      </c>
      <c r="G27" s="4">
        <f t="shared" si="0"/>
        <v>13</v>
      </c>
      <c r="H27" s="4">
        <f t="shared" si="1"/>
        <v>12</v>
      </c>
      <c r="I27" s="4">
        <f t="shared" si="2"/>
        <v>2022</v>
      </c>
    </row>
    <row r="28" spans="1:14" x14ac:dyDescent="0.3">
      <c r="A28">
        <v>25</v>
      </c>
      <c r="B28" t="s">
        <v>91</v>
      </c>
      <c r="C28" t="s">
        <v>66</v>
      </c>
      <c r="D28">
        <v>72197</v>
      </c>
      <c r="E28" s="1">
        <v>43558</v>
      </c>
      <c r="G28" s="4">
        <f t="shared" si="0"/>
        <v>3</v>
      </c>
      <c r="H28" s="4">
        <f t="shared" si="1"/>
        <v>4</v>
      </c>
      <c r="I28" s="4">
        <f t="shared" si="2"/>
        <v>2019</v>
      </c>
    </row>
    <row r="29" spans="1:14" x14ac:dyDescent="0.3">
      <c r="A29">
        <v>26</v>
      </c>
      <c r="B29" t="s">
        <v>92</v>
      </c>
      <c r="C29" t="s">
        <v>64</v>
      </c>
      <c r="D29">
        <v>75815</v>
      </c>
      <c r="E29" s="1">
        <v>44293</v>
      </c>
      <c r="G29" s="4">
        <f t="shared" si="0"/>
        <v>7</v>
      </c>
      <c r="H29" s="4">
        <f t="shared" si="1"/>
        <v>4</v>
      </c>
      <c r="I29" s="4">
        <f t="shared" si="2"/>
        <v>2021</v>
      </c>
    </row>
    <row r="30" spans="1:14" x14ac:dyDescent="0.3">
      <c r="A30">
        <v>27</v>
      </c>
      <c r="B30" t="s">
        <v>93</v>
      </c>
      <c r="C30" t="s">
        <v>66</v>
      </c>
      <c r="D30">
        <v>46485</v>
      </c>
      <c r="E30" s="1">
        <v>44266</v>
      </c>
      <c r="G30" s="4">
        <f t="shared" si="0"/>
        <v>11</v>
      </c>
      <c r="H30" s="4">
        <f t="shared" si="1"/>
        <v>3</v>
      </c>
      <c r="I30" s="4">
        <f t="shared" si="2"/>
        <v>2021</v>
      </c>
    </row>
    <row r="31" spans="1:14" x14ac:dyDescent="0.3">
      <c r="A31">
        <v>28</v>
      </c>
      <c r="B31" t="s">
        <v>94</v>
      </c>
      <c r="C31" t="s">
        <v>68</v>
      </c>
      <c r="D31">
        <v>52766</v>
      </c>
      <c r="E31" s="1">
        <v>45215</v>
      </c>
      <c r="G31" s="4">
        <f t="shared" si="0"/>
        <v>16</v>
      </c>
      <c r="H31" s="4">
        <f t="shared" si="1"/>
        <v>10</v>
      </c>
      <c r="I31" s="4">
        <f t="shared" si="2"/>
        <v>2023</v>
      </c>
    </row>
    <row r="32" spans="1:14" x14ac:dyDescent="0.3">
      <c r="A32">
        <v>29</v>
      </c>
      <c r="B32" t="s">
        <v>95</v>
      </c>
      <c r="C32" t="s">
        <v>66</v>
      </c>
      <c r="D32">
        <v>45329</v>
      </c>
      <c r="E32" s="1">
        <v>45252</v>
      </c>
      <c r="G32" s="4">
        <f t="shared" si="0"/>
        <v>22</v>
      </c>
      <c r="H32" s="4">
        <f t="shared" si="1"/>
        <v>11</v>
      </c>
      <c r="I32" s="4">
        <f t="shared" si="2"/>
        <v>2023</v>
      </c>
    </row>
    <row r="33" spans="1:9" x14ac:dyDescent="0.3">
      <c r="A33">
        <v>30</v>
      </c>
      <c r="B33" t="s">
        <v>96</v>
      </c>
      <c r="C33" t="s">
        <v>64</v>
      </c>
      <c r="D33">
        <v>76555</v>
      </c>
      <c r="E33" s="1">
        <v>44861</v>
      </c>
      <c r="G33" s="4">
        <f>DAY(E33)</f>
        <v>27</v>
      </c>
      <c r="H33" s="4">
        <f t="shared" si="1"/>
        <v>10</v>
      </c>
      <c r="I33" s="4">
        <f t="shared" si="2"/>
        <v>2022</v>
      </c>
    </row>
  </sheetData>
  <conditionalFormatting sqref="C4:C33">
    <cfRule type="colorScale" priority="1">
      <colorScale>
        <cfvo type="min"/>
        <cfvo type="max"/>
        <color rgb="FF63BE7B"/>
        <color rgb="FFFCFCFF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activeCell="N14" sqref="N14"/>
    </sheetView>
  </sheetViews>
  <sheetFormatPr defaultRowHeight="14.4" x14ac:dyDescent="0.3"/>
  <cols>
    <col min="2" max="2" width="12.21875" bestFit="1" customWidth="1"/>
  </cols>
  <sheetData>
    <row r="1" spans="1:4" ht="15.6" customHeight="1" x14ac:dyDescent="0.3">
      <c r="A1" t="s">
        <v>33</v>
      </c>
      <c r="B1" t="s">
        <v>34</v>
      </c>
      <c r="C1" t="s">
        <v>35</v>
      </c>
    </row>
    <row r="2" spans="1:4" x14ac:dyDescent="0.3">
      <c r="A2" t="s">
        <v>36</v>
      </c>
      <c r="B2" t="s">
        <v>37</v>
      </c>
      <c r="C2">
        <v>55000</v>
      </c>
    </row>
    <row r="3" spans="1:4" x14ac:dyDescent="0.3">
      <c r="A3" t="s">
        <v>38</v>
      </c>
      <c r="B3" t="s">
        <v>39</v>
      </c>
      <c r="C3">
        <v>500</v>
      </c>
    </row>
    <row r="4" spans="1:4" x14ac:dyDescent="0.3">
      <c r="A4" t="s">
        <v>40</v>
      </c>
      <c r="B4" t="s">
        <v>41</v>
      </c>
      <c r="C4">
        <v>1200</v>
      </c>
    </row>
    <row r="5" spans="1:4" x14ac:dyDescent="0.3">
      <c r="A5" t="s">
        <v>42</v>
      </c>
      <c r="B5" t="s">
        <v>43</v>
      </c>
      <c r="C5">
        <v>15000</v>
      </c>
    </row>
    <row r="6" spans="1:4" x14ac:dyDescent="0.3">
      <c r="A6" t="s">
        <v>44</v>
      </c>
      <c r="B6" t="s">
        <v>45</v>
      </c>
      <c r="C6">
        <v>9000</v>
      </c>
    </row>
    <row r="7" spans="1:4" x14ac:dyDescent="0.3">
      <c r="A7" t="s">
        <v>46</v>
      </c>
      <c r="B7" t="s">
        <v>47</v>
      </c>
      <c r="C7">
        <v>22000</v>
      </c>
    </row>
    <row r="8" spans="1:4" x14ac:dyDescent="0.3">
      <c r="A8" t="s">
        <v>48</v>
      </c>
      <c r="B8" t="s">
        <v>49</v>
      </c>
      <c r="C8">
        <v>18000</v>
      </c>
    </row>
    <row r="9" spans="1:4" x14ac:dyDescent="0.3">
      <c r="A9" t="s">
        <v>50</v>
      </c>
      <c r="B9" t="s">
        <v>51</v>
      </c>
      <c r="C9">
        <v>3000</v>
      </c>
    </row>
    <row r="10" spans="1:4" x14ac:dyDescent="0.3">
      <c r="A10" t="s">
        <v>52</v>
      </c>
      <c r="B10" t="s">
        <v>53</v>
      </c>
      <c r="C10">
        <v>2500</v>
      </c>
    </row>
    <row r="11" spans="1:4" x14ac:dyDescent="0.3">
      <c r="A11" t="s">
        <v>54</v>
      </c>
      <c r="B11" t="s">
        <v>55</v>
      </c>
      <c r="C11">
        <v>2000</v>
      </c>
    </row>
    <row r="13" spans="1:4" ht="18" x14ac:dyDescent="0.35">
      <c r="A13" s="42" t="s">
        <v>120</v>
      </c>
      <c r="B13" s="42"/>
      <c r="C13" s="42"/>
      <c r="D13" s="24"/>
    </row>
    <row r="14" spans="1:4" ht="21" x14ac:dyDescent="0.4">
      <c r="A14" s="43" t="str">
        <f>VLOOKUP(A4,A2:C11,2,FALSE)</f>
        <v>Keyboard</v>
      </c>
    </row>
    <row r="16" spans="1:4" x14ac:dyDescent="0.3">
      <c r="A16" s="22" t="s">
        <v>121</v>
      </c>
    </row>
    <row r="17" spans="1:1" x14ac:dyDescent="0.3">
      <c r="A17" s="4">
        <f>VLOOKUP(A2,A2:C11,3,FALSE)</f>
        <v>55000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33"/>
  <sheetViews>
    <sheetView tabSelected="1" workbookViewId="0">
      <selection activeCell="G6" sqref="G6"/>
    </sheetView>
  </sheetViews>
  <sheetFormatPr defaultRowHeight="14.4" x14ac:dyDescent="0.3"/>
  <cols>
    <col min="4" max="4" width="12.88671875" bestFit="1" customWidth="1"/>
  </cols>
  <sheetData>
    <row r="2" spans="1:10" ht="21" x14ac:dyDescent="0.4">
      <c r="D2" s="9" t="s">
        <v>98</v>
      </c>
      <c r="E2" s="10"/>
      <c r="F2" s="10"/>
      <c r="G2" s="10"/>
      <c r="H2" s="10"/>
      <c r="I2" s="2"/>
      <c r="J2" s="2"/>
    </row>
    <row r="3" spans="1:10" ht="15.6" x14ac:dyDescent="0.3">
      <c r="A3" t="s">
        <v>56</v>
      </c>
      <c r="B3" t="s">
        <v>33</v>
      </c>
      <c r="C3" t="s">
        <v>57</v>
      </c>
      <c r="D3" s="8" t="s">
        <v>58</v>
      </c>
    </row>
    <row r="4" spans="1:10" ht="15.6" x14ac:dyDescent="0.3">
      <c r="A4">
        <v>1</v>
      </c>
      <c r="B4" t="s">
        <v>44</v>
      </c>
      <c r="C4">
        <v>2</v>
      </c>
      <c r="D4" s="8">
        <f>VLOOKUP(B4,Products!A:C,3,FALSE)</f>
        <v>9000</v>
      </c>
    </row>
    <row r="5" spans="1:10" ht="15.6" x14ac:dyDescent="0.3">
      <c r="A5">
        <v>2</v>
      </c>
      <c r="B5" t="s">
        <v>38</v>
      </c>
      <c r="C5">
        <v>2</v>
      </c>
      <c r="D5" s="8">
        <f>VLOOKUP(B5,Products!A:C,3,FALSE)</f>
        <v>500</v>
      </c>
    </row>
    <row r="6" spans="1:10" ht="15.6" x14ac:dyDescent="0.3">
      <c r="A6">
        <v>3</v>
      </c>
      <c r="B6" t="s">
        <v>52</v>
      </c>
      <c r="C6">
        <v>4</v>
      </c>
      <c r="D6" s="8">
        <f>VLOOKUP(B6,Products!A:C,3,FALSE)</f>
        <v>2500</v>
      </c>
      <c r="F6" s="4" t="str" cm="1">
        <f t="array" ref="F6:F15">_xlfn.UNIQUE(Products!B2:B11)</f>
        <v>Laptop</v>
      </c>
      <c r="G6" s="4">
        <f>SUMIF(Products!B2:B11,Sales!F6,Sales!D4:D33)</f>
        <v>9000</v>
      </c>
    </row>
    <row r="7" spans="1:10" ht="15.6" x14ac:dyDescent="0.3">
      <c r="A7">
        <v>4</v>
      </c>
      <c r="B7" t="s">
        <v>46</v>
      </c>
      <c r="C7">
        <v>1</v>
      </c>
      <c r="D7" s="8">
        <f>VLOOKUP(B7,Products!A:C,3,FALSE)</f>
        <v>22000</v>
      </c>
      <c r="F7" s="4" t="str">
        <v>Mouse</v>
      </c>
      <c r="G7" s="4">
        <f>SUMIF(Products!B3:B12,Sales!F7,Sales!D5:D34)</f>
        <v>500</v>
      </c>
    </row>
    <row r="8" spans="1:10" ht="15.6" x14ac:dyDescent="0.3">
      <c r="A8">
        <v>5</v>
      </c>
      <c r="B8" t="s">
        <v>52</v>
      </c>
      <c r="C8">
        <v>5</v>
      </c>
      <c r="D8" s="8">
        <f>VLOOKUP(B8,Products!A:C,3,FALSE)</f>
        <v>2500</v>
      </c>
      <c r="F8" s="4" t="str">
        <v>Keyboard</v>
      </c>
      <c r="G8" s="4">
        <f>SUMIF(Products!B4:B13,Sales!F8,Sales!D6:D35)</f>
        <v>2500</v>
      </c>
    </row>
    <row r="9" spans="1:10" ht="15.6" x14ac:dyDescent="0.3">
      <c r="A9">
        <v>6</v>
      </c>
      <c r="B9" t="s">
        <v>46</v>
      </c>
      <c r="C9">
        <v>3</v>
      </c>
      <c r="D9" s="8">
        <f>VLOOKUP(B9,Products!A:C,3,FALSE)</f>
        <v>22000</v>
      </c>
      <c r="F9" s="4" t="str">
        <v>Monitor</v>
      </c>
      <c r="G9" s="4">
        <f>SUMIF(Products!B5:B14,Sales!F9,Sales!D7:D36)</f>
        <v>22000</v>
      </c>
    </row>
    <row r="10" spans="1:10" ht="15.6" x14ac:dyDescent="0.3">
      <c r="A10">
        <v>7</v>
      </c>
      <c r="B10" t="s">
        <v>50</v>
      </c>
      <c r="C10">
        <v>5</v>
      </c>
      <c r="D10" s="8">
        <f>VLOOKUP(B10,Products!A:C,3,FALSE)</f>
        <v>3000</v>
      </c>
      <c r="F10" s="4" t="str">
        <v>Printer</v>
      </c>
      <c r="G10" s="4">
        <f>SUMIF(Products!B6:B15,Sales!F10,Sales!D8:D37)</f>
        <v>2500</v>
      </c>
    </row>
    <row r="11" spans="1:10" ht="15.6" x14ac:dyDescent="0.3">
      <c r="A11">
        <v>8</v>
      </c>
      <c r="B11" t="s">
        <v>40</v>
      </c>
      <c r="C11">
        <v>3</v>
      </c>
      <c r="D11" s="8">
        <f>VLOOKUP(B11,Products!A:C,3,FALSE)</f>
        <v>1200</v>
      </c>
      <c r="F11" s="4" t="str">
        <v>Tablet</v>
      </c>
      <c r="G11" s="4">
        <f>SUMIF(Products!B7:B16,Sales!F11,Sales!D9:D38)</f>
        <v>22000</v>
      </c>
    </row>
    <row r="12" spans="1:10" ht="15.6" x14ac:dyDescent="0.3">
      <c r="A12">
        <v>9</v>
      </c>
      <c r="B12" t="s">
        <v>54</v>
      </c>
      <c r="C12">
        <v>3</v>
      </c>
      <c r="D12" s="8">
        <f>VLOOKUP(B12,Products!A:C,3,FALSE)</f>
        <v>2000</v>
      </c>
      <c r="F12" s="4" t="str">
        <v>Phone</v>
      </c>
      <c r="G12" s="4">
        <f>SUMIF(Products!B8:B17,Sales!F12,Sales!D10:D39)</f>
        <v>3000</v>
      </c>
    </row>
    <row r="13" spans="1:10" ht="15.6" x14ac:dyDescent="0.3">
      <c r="A13">
        <v>10</v>
      </c>
      <c r="B13" t="s">
        <v>42</v>
      </c>
      <c r="C13">
        <v>4</v>
      </c>
      <c r="D13" s="8">
        <f>VLOOKUP(B13,Products!A:C,3,FALSE)</f>
        <v>15000</v>
      </c>
      <c r="F13" s="4" t="str">
        <v>Speaker</v>
      </c>
      <c r="G13" s="4">
        <f>SUMIF(Products!B9:B18,Sales!F13,Sales!D11:D40)</f>
        <v>1200</v>
      </c>
    </row>
    <row r="14" spans="1:10" ht="15.6" x14ac:dyDescent="0.3">
      <c r="A14">
        <v>11</v>
      </c>
      <c r="B14" t="s">
        <v>38</v>
      </c>
      <c r="C14">
        <v>2</v>
      </c>
      <c r="D14" s="8">
        <f>VLOOKUP(B14,Products!A:C,3,FALSE)</f>
        <v>500</v>
      </c>
      <c r="F14" s="4" t="str">
        <v>Router</v>
      </c>
      <c r="G14" s="4">
        <f>SUMIF(Products!B10:B19,Sales!F14,Sales!D12:D41)</f>
        <v>2000</v>
      </c>
    </row>
    <row r="15" spans="1:10" ht="15.6" x14ac:dyDescent="0.3">
      <c r="A15">
        <v>12</v>
      </c>
      <c r="B15" t="s">
        <v>40</v>
      </c>
      <c r="C15">
        <v>3</v>
      </c>
      <c r="D15" s="8">
        <f>VLOOKUP(B15,Products!A:C,3,FALSE)</f>
        <v>1200</v>
      </c>
      <c r="F15" s="4" t="str">
        <v>Headset</v>
      </c>
      <c r="G15" s="4">
        <f>SUMIF(Products!B11:B20,Sales!F15,Sales!D13:D42)</f>
        <v>15000</v>
      </c>
    </row>
    <row r="16" spans="1:10" ht="15.6" x14ac:dyDescent="0.3">
      <c r="A16">
        <v>13</v>
      </c>
      <c r="B16" t="s">
        <v>44</v>
      </c>
      <c r="C16">
        <v>4</v>
      </c>
      <c r="D16" s="8">
        <f>VLOOKUP(B16,Products!A:C,3,FALSE)</f>
        <v>9000</v>
      </c>
    </row>
    <row r="17" spans="1:4" ht="15.6" x14ac:dyDescent="0.3">
      <c r="A17">
        <v>14</v>
      </c>
      <c r="B17" t="s">
        <v>40</v>
      </c>
      <c r="C17">
        <v>3</v>
      </c>
      <c r="D17" s="8">
        <f>VLOOKUP(B17,Products!A:C,3,FALSE)</f>
        <v>1200</v>
      </c>
    </row>
    <row r="18" spans="1:4" ht="15.6" x14ac:dyDescent="0.3">
      <c r="A18">
        <v>15</v>
      </c>
      <c r="B18" t="s">
        <v>46</v>
      </c>
      <c r="C18">
        <v>5</v>
      </c>
      <c r="D18" s="8">
        <f>VLOOKUP(B18,Products!A:C,3,FALSE)</f>
        <v>22000</v>
      </c>
    </row>
    <row r="19" spans="1:4" ht="15.6" x14ac:dyDescent="0.3">
      <c r="A19">
        <v>16</v>
      </c>
      <c r="B19" t="s">
        <v>42</v>
      </c>
      <c r="C19">
        <v>2</v>
      </c>
      <c r="D19" s="8">
        <f>VLOOKUP(B19,Products!A:C,3,FALSE)</f>
        <v>15000</v>
      </c>
    </row>
    <row r="20" spans="1:4" ht="15.6" x14ac:dyDescent="0.3">
      <c r="A20">
        <v>17</v>
      </c>
      <c r="B20" t="s">
        <v>36</v>
      </c>
      <c r="C20">
        <v>4</v>
      </c>
      <c r="D20" s="8">
        <f>VLOOKUP(B20,Products!A:C,3,FALSE)</f>
        <v>55000</v>
      </c>
    </row>
    <row r="21" spans="1:4" ht="15.6" x14ac:dyDescent="0.3">
      <c r="A21">
        <v>18</v>
      </c>
      <c r="B21" t="s">
        <v>44</v>
      </c>
      <c r="C21">
        <v>1</v>
      </c>
      <c r="D21" s="8">
        <f>VLOOKUP(B21,Products!A:C,3,FALSE)</f>
        <v>9000</v>
      </c>
    </row>
    <row r="22" spans="1:4" ht="15.6" x14ac:dyDescent="0.3">
      <c r="A22">
        <v>19</v>
      </c>
      <c r="B22" t="s">
        <v>52</v>
      </c>
      <c r="C22">
        <v>2</v>
      </c>
      <c r="D22" s="8">
        <f>VLOOKUP(B22,Products!A:C,3,FALSE)</f>
        <v>2500</v>
      </c>
    </row>
    <row r="23" spans="1:4" ht="15.6" x14ac:dyDescent="0.3">
      <c r="A23">
        <v>20</v>
      </c>
      <c r="B23" t="s">
        <v>42</v>
      </c>
      <c r="C23">
        <v>4</v>
      </c>
      <c r="D23" s="8">
        <f>VLOOKUP(B23,Products!A:C,3,FALSE)</f>
        <v>15000</v>
      </c>
    </row>
    <row r="24" spans="1:4" ht="15.6" x14ac:dyDescent="0.3">
      <c r="A24">
        <v>21</v>
      </c>
      <c r="B24" t="s">
        <v>42</v>
      </c>
      <c r="C24">
        <v>1</v>
      </c>
      <c r="D24" s="8">
        <f>VLOOKUP(B24,Products!A:C,3,FALSE)</f>
        <v>15000</v>
      </c>
    </row>
    <row r="25" spans="1:4" ht="15.6" x14ac:dyDescent="0.3">
      <c r="A25">
        <v>22</v>
      </c>
      <c r="B25" t="s">
        <v>52</v>
      </c>
      <c r="C25">
        <v>1</v>
      </c>
      <c r="D25" s="8">
        <f>VLOOKUP(B25,Products!A:C,3,FALSE)</f>
        <v>2500</v>
      </c>
    </row>
    <row r="26" spans="1:4" ht="15.6" x14ac:dyDescent="0.3">
      <c r="A26">
        <v>23</v>
      </c>
      <c r="B26" t="s">
        <v>42</v>
      </c>
      <c r="C26">
        <v>1</v>
      </c>
      <c r="D26" s="8">
        <f>VLOOKUP(B26,Products!A:C,3,FALSE)</f>
        <v>15000</v>
      </c>
    </row>
    <row r="27" spans="1:4" ht="15.6" x14ac:dyDescent="0.3">
      <c r="A27">
        <v>24</v>
      </c>
      <c r="B27" t="s">
        <v>46</v>
      </c>
      <c r="C27">
        <v>1</v>
      </c>
      <c r="D27" s="8">
        <f>VLOOKUP(B27,Products!A:C,3,FALSE)</f>
        <v>22000</v>
      </c>
    </row>
    <row r="28" spans="1:4" ht="15.6" x14ac:dyDescent="0.3">
      <c r="A28">
        <v>25</v>
      </c>
      <c r="B28" t="s">
        <v>50</v>
      </c>
      <c r="C28">
        <v>2</v>
      </c>
      <c r="D28" s="8">
        <f>VLOOKUP(B28,Products!A:C,3,FALSE)</f>
        <v>3000</v>
      </c>
    </row>
    <row r="29" spans="1:4" ht="15.6" x14ac:dyDescent="0.3">
      <c r="A29">
        <v>26</v>
      </c>
      <c r="B29" t="s">
        <v>48</v>
      </c>
      <c r="C29">
        <v>3</v>
      </c>
      <c r="D29" s="8">
        <f>VLOOKUP(B29,Products!A:C,3,FALSE)</f>
        <v>18000</v>
      </c>
    </row>
    <row r="30" spans="1:4" ht="15.6" x14ac:dyDescent="0.3">
      <c r="A30">
        <v>27</v>
      </c>
      <c r="B30" t="s">
        <v>42</v>
      </c>
      <c r="C30">
        <v>2</v>
      </c>
      <c r="D30" s="8">
        <f>VLOOKUP(B30,Products!A:C,3,FALSE)</f>
        <v>15000</v>
      </c>
    </row>
    <row r="31" spans="1:4" ht="15.6" x14ac:dyDescent="0.3">
      <c r="A31">
        <v>28</v>
      </c>
      <c r="B31" t="s">
        <v>44</v>
      </c>
      <c r="C31">
        <v>1</v>
      </c>
      <c r="D31" s="8">
        <f>VLOOKUP(B31,Products!A:C,3,FALSE)</f>
        <v>9000</v>
      </c>
    </row>
    <row r="32" spans="1:4" ht="15.6" x14ac:dyDescent="0.3">
      <c r="A32">
        <v>29</v>
      </c>
      <c r="B32" t="s">
        <v>50</v>
      </c>
      <c r="C32">
        <v>5</v>
      </c>
      <c r="D32" s="8">
        <f>VLOOKUP(B32,Products!A:C,3,FALSE)</f>
        <v>3000</v>
      </c>
    </row>
    <row r="33" spans="1:4" ht="15.6" x14ac:dyDescent="0.3">
      <c r="A33">
        <v>30</v>
      </c>
      <c r="B33" t="s">
        <v>46</v>
      </c>
      <c r="C33">
        <v>5</v>
      </c>
      <c r="D33" s="8">
        <f>VLOOKUP(B33,Products!A:C,3,FALSE)</f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Employees</vt:lpstr>
      <vt:lpstr>Products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ibhrahim ansari</cp:lastModifiedBy>
  <dcterms:created xsi:type="dcterms:W3CDTF">2025-12-13T06:25:54Z</dcterms:created>
  <dcterms:modified xsi:type="dcterms:W3CDTF">2025-12-14T05:46:15Z</dcterms:modified>
</cp:coreProperties>
</file>